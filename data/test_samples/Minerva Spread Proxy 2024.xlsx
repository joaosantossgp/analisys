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daojoao\Documents\spread_automation_empty\data\"/>
    </mc:Choice>
  </mc:AlternateContent>
  <xr:revisionPtr revIDLastSave="0" documentId="13_ncr:2001_{4755A6C0-8D84-4954-82B8-00A532B977CA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Entrada de Dado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1" i="1" l="1"/>
  <c r="J313" i="1"/>
  <c r="J267" i="1"/>
  <c r="J266" i="1"/>
  <c r="J265" i="1"/>
  <c r="J264" i="1"/>
  <c r="J263" i="1"/>
  <c r="J262" i="1"/>
  <c r="J261" i="1"/>
  <c r="J260" i="1"/>
  <c r="J259" i="1"/>
  <c r="J258" i="1"/>
  <c r="J257" i="1"/>
  <c r="J245" i="1"/>
  <c r="J242" i="1"/>
  <c r="J231" i="1"/>
  <c r="J181" i="1" s="1"/>
  <c r="J184" i="1" s="1"/>
  <c r="J189" i="1" s="1"/>
  <c r="J192" i="1" s="1"/>
  <c r="J196" i="1" s="1"/>
  <c r="J219" i="1"/>
  <c r="J182" i="1" s="1"/>
  <c r="J212" i="1"/>
  <c r="J201" i="1"/>
  <c r="J203" i="1" s="1"/>
  <c r="J187" i="1"/>
  <c r="J183" i="1"/>
  <c r="J178" i="1"/>
  <c r="J154" i="1"/>
  <c r="J149" i="1"/>
  <c r="J162" i="1" s="1"/>
  <c r="J136" i="1"/>
  <c r="J253" i="1" s="1"/>
  <c r="J133" i="1"/>
  <c r="J117" i="1"/>
  <c r="J95" i="1"/>
  <c r="J146" i="1" s="1"/>
  <c r="J89" i="1"/>
  <c r="J88" i="1"/>
  <c r="J86" i="1" s="1"/>
  <c r="J75" i="1" s="1"/>
  <c r="J79" i="1"/>
  <c r="J76" i="1"/>
  <c r="J56" i="1"/>
  <c r="J36" i="1"/>
  <c r="J32" i="1"/>
  <c r="J26" i="1"/>
  <c r="J325" i="1" s="1"/>
  <c r="H321" i="1"/>
  <c r="H313" i="1"/>
  <c r="H281" i="1"/>
  <c r="H279" i="1"/>
  <c r="H278" i="1"/>
  <c r="H277" i="1"/>
  <c r="H276" i="1"/>
  <c r="H275" i="1"/>
  <c r="H274" i="1"/>
  <c r="H273" i="1"/>
  <c r="H272" i="1"/>
  <c r="H271" i="1"/>
  <c r="H270" i="1"/>
  <c r="H267" i="1"/>
  <c r="H266" i="1"/>
  <c r="H265" i="1"/>
  <c r="H264" i="1"/>
  <c r="H263" i="1"/>
  <c r="H262" i="1"/>
  <c r="H261" i="1"/>
  <c r="H260" i="1"/>
  <c r="H259" i="1"/>
  <c r="H258" i="1"/>
  <c r="H257" i="1"/>
  <c r="H254" i="1"/>
  <c r="H245" i="1"/>
  <c r="H187" i="1" s="1"/>
  <c r="H242" i="1"/>
  <c r="H234" i="1"/>
  <c r="H231" i="1"/>
  <c r="H219" i="1"/>
  <c r="H212" i="1"/>
  <c r="H201" i="1"/>
  <c r="H203" i="1" s="1"/>
  <c r="H183" i="1"/>
  <c r="H182" i="1"/>
  <c r="H181" i="1"/>
  <c r="H179" i="1"/>
  <c r="H175" i="1"/>
  <c r="H169" i="1"/>
  <c r="H168" i="1"/>
  <c r="H170" i="1" s="1"/>
  <c r="H164" i="1" s="1"/>
  <c r="H167" i="1" s="1"/>
  <c r="H171" i="1" s="1"/>
  <c r="H154" i="1"/>
  <c r="H149" i="1"/>
  <c r="H162" i="1" s="1"/>
  <c r="H172" i="1" s="1"/>
  <c r="H178" i="1" s="1"/>
  <c r="H184" i="1" s="1"/>
  <c r="H139" i="1"/>
  <c r="H136" i="1"/>
  <c r="H253" i="1" s="1"/>
  <c r="H255" i="1" s="1"/>
  <c r="H133" i="1"/>
  <c r="H146" i="1" s="1"/>
  <c r="H147" i="1" s="1"/>
  <c r="H117" i="1"/>
  <c r="H115" i="1"/>
  <c r="H100" i="1"/>
  <c r="H95" i="1"/>
  <c r="H89" i="1"/>
  <c r="H88" i="1"/>
  <c r="H86" i="1"/>
  <c r="H80" i="1"/>
  <c r="H79" i="1"/>
  <c r="H76" i="1"/>
  <c r="H75" i="1"/>
  <c r="H56" i="1"/>
  <c r="H36" i="1"/>
  <c r="H32" i="1"/>
  <c r="H27" i="1" s="1"/>
  <c r="H93" i="1" s="1"/>
  <c r="H28" i="1"/>
  <c r="H26" i="1"/>
  <c r="H325" i="1" s="1"/>
  <c r="F321" i="1"/>
  <c r="F313" i="1"/>
  <c r="F281" i="1"/>
  <c r="F279" i="1"/>
  <c r="F278" i="1"/>
  <c r="F277" i="1"/>
  <c r="F276" i="1"/>
  <c r="F275" i="1"/>
  <c r="F274" i="1"/>
  <c r="F273" i="1"/>
  <c r="F272" i="1"/>
  <c r="F271" i="1"/>
  <c r="F270" i="1"/>
  <c r="F267" i="1"/>
  <c r="F266" i="1"/>
  <c r="F265" i="1"/>
  <c r="F264" i="1"/>
  <c r="F263" i="1"/>
  <c r="F262" i="1"/>
  <c r="F261" i="1"/>
  <c r="F260" i="1"/>
  <c r="F259" i="1"/>
  <c r="F258" i="1"/>
  <c r="F257" i="1"/>
  <c r="F245" i="1"/>
  <c r="F187" i="1" s="1"/>
  <c r="F242" i="1"/>
  <c r="F234" i="1"/>
  <c r="F231" i="1"/>
  <c r="F219" i="1"/>
  <c r="F210" i="1"/>
  <c r="F212" i="1" s="1"/>
  <c r="F201" i="1"/>
  <c r="F203" i="1" s="1"/>
  <c r="F193" i="1"/>
  <c r="F183" i="1"/>
  <c r="F182" i="1"/>
  <c r="F181" i="1"/>
  <c r="F179" i="1" s="1"/>
  <c r="F169" i="1"/>
  <c r="F168" i="1"/>
  <c r="F170" i="1" s="1"/>
  <c r="F164" i="1" s="1"/>
  <c r="F167" i="1" s="1"/>
  <c r="F171" i="1" s="1"/>
  <c r="F154" i="1"/>
  <c r="F149" i="1"/>
  <c r="F162" i="1" s="1"/>
  <c r="F172" i="1" s="1"/>
  <c r="F178" i="1" s="1"/>
  <c r="F184" i="1" s="1"/>
  <c r="F139" i="1"/>
  <c r="F136" i="1"/>
  <c r="F253" i="1" s="1"/>
  <c r="F133" i="1"/>
  <c r="F117" i="1"/>
  <c r="F115" i="1"/>
  <c r="F110" i="1"/>
  <c r="F100" i="1"/>
  <c r="F95" i="1"/>
  <c r="F89" i="1"/>
  <c r="F88" i="1"/>
  <c r="F86" i="1"/>
  <c r="F80" i="1"/>
  <c r="F79" i="1"/>
  <c r="F76" i="1"/>
  <c r="F75" i="1"/>
  <c r="F254" i="1" s="1"/>
  <c r="F56" i="1"/>
  <c r="F36" i="1"/>
  <c r="F32" i="1"/>
  <c r="F27" i="1" s="1"/>
  <c r="F93" i="1" s="1"/>
  <c r="F28" i="1"/>
  <c r="F26" i="1"/>
  <c r="F325" i="1" s="1"/>
  <c r="D321" i="1"/>
  <c r="D313" i="1"/>
  <c r="D281" i="1"/>
  <c r="D279" i="1"/>
  <c r="D278" i="1"/>
  <c r="D277" i="1"/>
  <c r="D276" i="1"/>
  <c r="D275" i="1"/>
  <c r="D274" i="1"/>
  <c r="D273" i="1"/>
  <c r="D272" i="1"/>
  <c r="D271" i="1"/>
  <c r="D267" i="1"/>
  <c r="D266" i="1"/>
  <c r="D265" i="1"/>
  <c r="D264" i="1"/>
  <c r="D263" i="1"/>
  <c r="D262" i="1"/>
  <c r="D261" i="1"/>
  <c r="D260" i="1"/>
  <c r="D259" i="1"/>
  <c r="D258" i="1"/>
  <c r="D257" i="1"/>
  <c r="D245" i="1"/>
  <c r="D187" i="1" s="1"/>
  <c r="D242" i="1"/>
  <c r="D234" i="1"/>
  <c r="D231" i="1" s="1"/>
  <c r="D219" i="1"/>
  <c r="D210" i="1"/>
  <c r="D212" i="1" s="1"/>
  <c r="D201" i="1"/>
  <c r="D203" i="1" s="1"/>
  <c r="D193" i="1"/>
  <c r="D183" i="1"/>
  <c r="D182" i="1"/>
  <c r="D169" i="1"/>
  <c r="D168" i="1"/>
  <c r="D170" i="1" s="1"/>
  <c r="D164" i="1" s="1"/>
  <c r="D167" i="1" s="1"/>
  <c r="D171" i="1" s="1"/>
  <c r="D154" i="1"/>
  <c r="D149" i="1"/>
  <c r="D162" i="1" s="1"/>
  <c r="D172" i="1" s="1"/>
  <c r="D178" i="1" s="1"/>
  <c r="D139" i="1"/>
  <c r="D136" i="1"/>
  <c r="D253" i="1" s="1"/>
  <c r="D133" i="1"/>
  <c r="D117" i="1"/>
  <c r="D115" i="1"/>
  <c r="D95" i="1" s="1"/>
  <c r="D146" i="1" s="1"/>
  <c r="D147" i="1" s="1"/>
  <c r="D110" i="1"/>
  <c r="D100" i="1"/>
  <c r="D89" i="1"/>
  <c r="D88" i="1"/>
  <c r="D86" i="1"/>
  <c r="D80" i="1"/>
  <c r="D79" i="1"/>
  <c r="D76" i="1"/>
  <c r="D75" i="1"/>
  <c r="D254" i="1" s="1"/>
  <c r="D56" i="1"/>
  <c r="D36" i="1"/>
  <c r="D32" i="1"/>
  <c r="D27" i="1" s="1"/>
  <c r="D93" i="1" s="1"/>
  <c r="D26" i="1"/>
  <c r="D325" i="1" s="1"/>
  <c r="L325" i="1"/>
  <c r="K325" i="1"/>
  <c r="I325" i="1"/>
  <c r="L313" i="1"/>
  <c r="K313" i="1"/>
  <c r="I313" i="1"/>
  <c r="L311" i="1"/>
  <c r="K311" i="1"/>
  <c r="I311" i="1"/>
  <c r="L267" i="1"/>
  <c r="K267" i="1"/>
  <c r="I267" i="1"/>
  <c r="G267" i="1"/>
  <c r="L266" i="1"/>
  <c r="K266" i="1"/>
  <c r="I266" i="1"/>
  <c r="G266" i="1"/>
  <c r="L265" i="1"/>
  <c r="K265" i="1"/>
  <c r="I265" i="1"/>
  <c r="G265" i="1"/>
  <c r="L264" i="1"/>
  <c r="K264" i="1"/>
  <c r="I264" i="1"/>
  <c r="G264" i="1"/>
  <c r="L263" i="1"/>
  <c r="K263" i="1"/>
  <c r="I263" i="1"/>
  <c r="G263" i="1"/>
  <c r="L262" i="1"/>
  <c r="K262" i="1"/>
  <c r="I262" i="1"/>
  <c r="G262" i="1"/>
  <c r="L261" i="1"/>
  <c r="K261" i="1"/>
  <c r="I261" i="1"/>
  <c r="G261" i="1"/>
  <c r="L260" i="1"/>
  <c r="K260" i="1"/>
  <c r="I260" i="1"/>
  <c r="G260" i="1"/>
  <c r="L259" i="1"/>
  <c r="K259" i="1"/>
  <c r="I259" i="1"/>
  <c r="G259" i="1"/>
  <c r="L258" i="1"/>
  <c r="K258" i="1"/>
  <c r="I258" i="1"/>
  <c r="G258" i="1"/>
  <c r="L257" i="1"/>
  <c r="K257" i="1"/>
  <c r="I257" i="1"/>
  <c r="G257" i="1"/>
  <c r="K254" i="1"/>
  <c r="K255" i="1" s="1"/>
  <c r="I254" i="1"/>
  <c r="I255" i="1" s="1"/>
  <c r="G254" i="1"/>
  <c r="G255" i="1" s="1"/>
  <c r="L253" i="1"/>
  <c r="K253" i="1"/>
  <c r="I253" i="1"/>
  <c r="G253" i="1"/>
  <c r="L245" i="1"/>
  <c r="K245" i="1"/>
  <c r="I245" i="1"/>
  <c r="G245" i="1"/>
  <c r="L242" i="1"/>
  <c r="K242" i="1"/>
  <c r="I242" i="1"/>
  <c r="G242" i="1"/>
  <c r="G231" i="1"/>
  <c r="I231" i="1"/>
  <c r="K231" i="1"/>
  <c r="K181" i="1" s="1"/>
  <c r="L231" i="1"/>
  <c r="L181" i="1" s="1"/>
  <c r="G181" i="1"/>
  <c r="L219" i="1"/>
  <c r="K219" i="1"/>
  <c r="I219" i="1"/>
  <c r="G219" i="1"/>
  <c r="L212" i="1"/>
  <c r="K212" i="1"/>
  <c r="I212" i="1"/>
  <c r="G212" i="1"/>
  <c r="L203" i="1"/>
  <c r="K203" i="1"/>
  <c r="I203" i="1"/>
  <c r="G203" i="1"/>
  <c r="L201" i="1"/>
  <c r="K201" i="1"/>
  <c r="I201" i="1"/>
  <c r="G201" i="1"/>
  <c r="L187" i="1"/>
  <c r="K187" i="1"/>
  <c r="I187" i="1"/>
  <c r="G187" i="1"/>
  <c r="L183" i="1"/>
  <c r="K183" i="1"/>
  <c r="I183" i="1"/>
  <c r="G183" i="1"/>
  <c r="L182" i="1"/>
  <c r="K182" i="1"/>
  <c r="I182" i="1"/>
  <c r="G182" i="1"/>
  <c r="I181" i="1"/>
  <c r="L178" i="1"/>
  <c r="K178" i="1"/>
  <c r="I178" i="1"/>
  <c r="G178" i="1"/>
  <c r="L162" i="1"/>
  <c r="K162" i="1"/>
  <c r="I162" i="1"/>
  <c r="G162" i="1"/>
  <c r="L154" i="1"/>
  <c r="K154" i="1"/>
  <c r="I154" i="1"/>
  <c r="G154" i="1"/>
  <c r="L149" i="1"/>
  <c r="K149" i="1"/>
  <c r="I149" i="1"/>
  <c r="G149" i="1"/>
  <c r="L146" i="1"/>
  <c r="K146" i="1"/>
  <c r="K147" i="1" s="1"/>
  <c r="I146" i="1"/>
  <c r="I147" i="1" s="1"/>
  <c r="G146" i="1"/>
  <c r="G147" i="1" s="1"/>
  <c r="L136" i="1"/>
  <c r="K136" i="1"/>
  <c r="I136" i="1"/>
  <c r="G136" i="1"/>
  <c r="L133" i="1"/>
  <c r="K133" i="1"/>
  <c r="I133" i="1"/>
  <c r="G133" i="1"/>
  <c r="L117" i="1"/>
  <c r="K117" i="1"/>
  <c r="I117" i="1"/>
  <c r="G117" i="1"/>
  <c r="L95" i="1"/>
  <c r="K95" i="1"/>
  <c r="I95" i="1"/>
  <c r="G95" i="1"/>
  <c r="K93" i="1"/>
  <c r="I93" i="1"/>
  <c r="G93" i="1"/>
  <c r="L89" i="1"/>
  <c r="K89" i="1"/>
  <c r="I89" i="1"/>
  <c r="G89" i="1"/>
  <c r="L88" i="1"/>
  <c r="L86" i="1" s="1"/>
  <c r="L75" i="1" s="1"/>
  <c r="L93" i="1" s="1"/>
  <c r="K88" i="1"/>
  <c r="K86" i="1" s="1"/>
  <c r="K75" i="1" s="1"/>
  <c r="I88" i="1"/>
  <c r="I86" i="1" s="1"/>
  <c r="I75" i="1" s="1"/>
  <c r="G88" i="1"/>
  <c r="G86" i="1" s="1"/>
  <c r="L79" i="1"/>
  <c r="K79" i="1"/>
  <c r="I79" i="1"/>
  <c r="G79" i="1"/>
  <c r="L76" i="1"/>
  <c r="K76" i="1"/>
  <c r="I76" i="1"/>
  <c r="G76" i="1"/>
  <c r="L56" i="1"/>
  <c r="K56" i="1"/>
  <c r="I56" i="1"/>
  <c r="G56" i="1"/>
  <c r="L36" i="1"/>
  <c r="K36" i="1"/>
  <c r="I36" i="1"/>
  <c r="G36" i="1"/>
  <c r="L32" i="1"/>
  <c r="K32" i="1"/>
  <c r="I32" i="1"/>
  <c r="G32" i="1"/>
  <c r="G26" i="1"/>
  <c r="I26" i="1"/>
  <c r="K26" i="1"/>
  <c r="L26" i="1"/>
  <c r="J254" i="1" l="1"/>
  <c r="J255" i="1" s="1"/>
  <c r="J93" i="1"/>
  <c r="J147" i="1"/>
  <c r="J311" i="1"/>
  <c r="J320" i="1"/>
  <c r="H189" i="1"/>
  <c r="H192" i="1" s="1"/>
  <c r="H196" i="1" s="1"/>
  <c r="H311" i="1"/>
  <c r="H320" i="1"/>
  <c r="F189" i="1"/>
  <c r="F192" i="1" s="1"/>
  <c r="F196" i="1" s="1"/>
  <c r="F255" i="1"/>
  <c r="F311" i="1"/>
  <c r="F146" i="1"/>
  <c r="F147" i="1" s="1"/>
  <c r="F320" i="1"/>
  <c r="D181" i="1"/>
  <c r="D179" i="1" s="1"/>
  <c r="D270" i="1"/>
  <c r="D184" i="1"/>
  <c r="D189" i="1" s="1"/>
  <c r="D192" i="1" s="1"/>
  <c r="D196" i="1" s="1"/>
  <c r="D255" i="1"/>
  <c r="D311" i="1"/>
  <c r="D320" i="1"/>
  <c r="L147" i="1"/>
  <c r="L254" i="1"/>
  <c r="L255" i="1" s="1"/>
  <c r="G184" i="1"/>
  <c r="G189" i="1" s="1"/>
  <c r="G192" i="1" s="1"/>
  <c r="G196" i="1" s="1"/>
  <c r="I184" i="1"/>
  <c r="I189" i="1" s="1"/>
  <c r="I192" i="1" s="1"/>
  <c r="I196" i="1" s="1"/>
  <c r="K184" i="1"/>
  <c r="K189" i="1" s="1"/>
  <c r="K192" i="1" s="1"/>
  <c r="K196" i="1" s="1"/>
  <c r="L184" i="1"/>
  <c r="L189" i="1" s="1"/>
  <c r="L192" i="1" s="1"/>
  <c r="L196" i="1" s="1"/>
  <c r="G7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86" authorId="0" shapeId="0" xr:uid="{4B215F78-BD15-44AE-890F-8DE59F3DB784}">
      <text>
        <r>
          <rPr>
            <sz val="11"/>
            <color theme="1"/>
            <rFont val="Calibri"/>
            <family val="2"/>
            <scheme val="minor"/>
          </rPr>
          <t>pdcaterina:
lançar no 1º ano o valor do Passivo Circulante</t>
        </r>
      </text>
    </comment>
    <comment ref="F286" authorId="0" shapeId="0" xr:uid="{E3800726-0A94-4982-8894-2C8E6C64768F}">
      <text>
        <r>
          <rPr>
            <sz val="11"/>
            <color theme="1"/>
            <rFont val="Calibri"/>
            <family val="2"/>
            <scheme val="minor"/>
          </rPr>
          <t>pdcaterina:
lançar no 1º ano o valor do Passivo Circulante</t>
        </r>
      </text>
    </comment>
    <comment ref="J286" authorId="0" shapeId="0" xr:uid="{5AE58042-5BC9-45BB-948D-BAC5F3D2F29B}">
      <text>
        <r>
          <rPr>
            <sz val="11"/>
            <color theme="1"/>
            <rFont val="Calibri"/>
            <family val="2"/>
            <scheme val="minor"/>
          </rPr>
          <t>pdcaterina:
lançar no 1º ano o valor do Passivo Circulante</t>
        </r>
      </text>
    </comment>
  </commentList>
</comments>
</file>

<file path=xl/sharedStrings.xml><?xml version="1.0" encoding="utf-8"?>
<sst xmlns="http://schemas.openxmlformats.org/spreadsheetml/2006/main" count="235" uniqueCount="206">
  <si>
    <t>Anos</t>
  </si>
  <si>
    <t>Número de meses do Balanço</t>
  </si>
  <si>
    <t>Nome do Arquivo:</t>
  </si>
  <si>
    <t>Auditado por</t>
  </si>
  <si>
    <t>BDO</t>
  </si>
  <si>
    <t>Peso Rating Financeiro</t>
  </si>
  <si>
    <t>Peso Rating Performance</t>
  </si>
  <si>
    <t>Rating Performance</t>
  </si>
  <si>
    <t>Rating Estrutura</t>
  </si>
  <si>
    <t>Rating Financeiro</t>
  </si>
  <si>
    <t>Analista de Balanço:</t>
  </si>
  <si>
    <t>Analista de Crédito:</t>
  </si>
  <si>
    <t>CMI ( 1 ) / LS ( 2 )</t>
  </si>
  <si>
    <t>Fonte do Balanço</t>
  </si>
  <si>
    <t>Moeda dos Dados Originais</t>
  </si>
  <si>
    <t>R$</t>
  </si>
  <si>
    <t>- B.P.</t>
  </si>
  <si>
    <t>- D.R.</t>
  </si>
  <si>
    <t>Unidade em :</t>
  </si>
  <si>
    <t>CAMBIO PARA CÁLCULO RATING - SEMPRE ATUALIZAR</t>
  </si>
  <si>
    <t>Cambio Final</t>
  </si>
  <si>
    <t>Cambio Médio</t>
  </si>
  <si>
    <t>AC (Current Assets)</t>
  </si>
  <si>
    <t>Disponibilidades</t>
  </si>
  <si>
    <t>Dupls Receber CP MN</t>
  </si>
  <si>
    <t>Dupls Receber CP ME</t>
  </si>
  <si>
    <t>PDD</t>
  </si>
  <si>
    <t>Estoques Operacionais CP MN</t>
  </si>
  <si>
    <t>. Prods Acabados</t>
  </si>
  <si>
    <t>. Prods Elaboração / Mat Prima</t>
  </si>
  <si>
    <t>. Outros Operacionais</t>
  </si>
  <si>
    <t>Estoques Operacionais CP ME</t>
  </si>
  <si>
    <t>Adiantamentos a Fornecedores CP MN</t>
  </si>
  <si>
    <t>Adiantamentos a Fornecedores CP ME</t>
  </si>
  <si>
    <t>Impostos a Recuperar CP</t>
  </si>
  <si>
    <t>Desp. Antecipadas</t>
  </si>
  <si>
    <t>Outros NCG AC 1</t>
  </si>
  <si>
    <t>Outros NCG AC 2</t>
  </si>
  <si>
    <t>Estoques Não Operacionais CP</t>
  </si>
  <si>
    <t>Dividendos Receber</t>
  </si>
  <si>
    <t>Juros s/ Capital a Receber</t>
  </si>
  <si>
    <t>Crédito Tributário I.R. CP</t>
  </si>
  <si>
    <t>C/C Coligadas AC MN</t>
  </si>
  <si>
    <t>Depósitos Judiciais CP</t>
  </si>
  <si>
    <t>(Destaque)</t>
  </si>
  <si>
    <t>Outros Ativos CP</t>
  </si>
  <si>
    <t>RLP (Long Term Assets)</t>
  </si>
  <si>
    <t>Disponibilidades LP</t>
  </si>
  <si>
    <t>Dupls Receber LP MN</t>
  </si>
  <si>
    <t>Dupls Receber LP ME</t>
  </si>
  <si>
    <t>Estoques Operacionais LP</t>
  </si>
  <si>
    <t>Adiantamentos a Fornecedores LP MN</t>
  </si>
  <si>
    <t>Adiantamentos a Fornecedores LP ME</t>
  </si>
  <si>
    <t>Impostos a Recuperar LP</t>
  </si>
  <si>
    <t>Outros NCG RLP 1</t>
  </si>
  <si>
    <t>Outros NCG RLP 2</t>
  </si>
  <si>
    <t>Estoques Não Operacionais LP</t>
  </si>
  <si>
    <t>Crédito Tributário I.R. LP</t>
  </si>
  <si>
    <t>C/C Coligadas RLP MN</t>
  </si>
  <si>
    <t>C/C Coligadas RLP ME</t>
  </si>
  <si>
    <t>Depósitos Judiciais LP</t>
  </si>
  <si>
    <t>Direito de Uso</t>
  </si>
  <si>
    <t>Outros Ativos RLP</t>
  </si>
  <si>
    <t>AP (Permanent Assets)</t>
  </si>
  <si>
    <t>Investimentos</t>
  </si>
  <si>
    <t>+ Afiliadas</t>
  </si>
  <si>
    <t>+ Outros</t>
  </si>
  <si>
    <t>Imobilizado</t>
  </si>
  <si>
    <t>+ Terrenos</t>
  </si>
  <si>
    <t>+ Edifícios</t>
  </si>
  <si>
    <t>+ Equipamentos</t>
  </si>
  <si>
    <t>(-) Depreciação Acumulada Total</t>
  </si>
  <si>
    <t>+ Imobilizado em Andamento</t>
  </si>
  <si>
    <t>Diferido Normal</t>
  </si>
  <si>
    <t>+ Diferido Normal</t>
  </si>
  <si>
    <t>(-) Amortização Acumulada Dif. Normal</t>
  </si>
  <si>
    <t>Diferido Cambial</t>
  </si>
  <si>
    <t>+ Diferido Financeiro (Variação Cambial)</t>
  </si>
  <si>
    <t>(-) Amortização Acumulada Dif. Financeiro</t>
  </si>
  <si>
    <t>ATIVO TOTAL (Total Assets)</t>
  </si>
  <si>
    <t>PC (Current Liabilities)</t>
  </si>
  <si>
    <t>Bancos CP Moeda Nacional</t>
  </si>
  <si>
    <t>Bancos CP Moeda Estrangeira</t>
  </si>
  <si>
    <t>Recelp MN</t>
  </si>
  <si>
    <t>Recelp ME</t>
  </si>
  <si>
    <t>Fornecedores Operac. CP MN</t>
  </si>
  <si>
    <t>Fornecedores Operac. CP ME</t>
  </si>
  <si>
    <t>Adiantamentos de Clientes CP MN</t>
  </si>
  <si>
    <t>Adiantamentos de Clientes CP ME</t>
  </si>
  <si>
    <t>Despesas Provisionadas</t>
  </si>
  <si>
    <t>Outros NCG PC 1</t>
  </si>
  <si>
    <t>Outros NCG PC 2</t>
  </si>
  <si>
    <t>Fornecedores Não Operacionais CP</t>
  </si>
  <si>
    <t>C/C Coligadas PC MN</t>
  </si>
  <si>
    <t>C/C Coligadas PC ME</t>
  </si>
  <si>
    <t>Provisão IR/CS</t>
  </si>
  <si>
    <t>Provisão p/ Contingências CP</t>
  </si>
  <si>
    <t>Dividendos a Pagar</t>
  </si>
  <si>
    <t>Juros s/ Capital</t>
  </si>
  <si>
    <t>Aquisições a pagar</t>
  </si>
  <si>
    <t>Outros Passivos CP</t>
  </si>
  <si>
    <t>ExLP (Long term Liabilities)</t>
  </si>
  <si>
    <t>Bancos LP Moeda Nacional</t>
  </si>
  <si>
    <t>Bancos LP Moeda Estrangeira</t>
  </si>
  <si>
    <t>Fornecedores Operac. LP MN</t>
  </si>
  <si>
    <t>Fornecedores Operac. LP ME</t>
  </si>
  <si>
    <t>Adiantamentos de Clientes LP MN</t>
  </si>
  <si>
    <t>Adiantamentos de Clientes LP ME</t>
  </si>
  <si>
    <t>Outros NCG ExLP 1</t>
  </si>
  <si>
    <t>Outros NCG ExLP 2</t>
  </si>
  <si>
    <t>Fornecedores Não Operacionais LP</t>
  </si>
  <si>
    <t>C/C Coligadas ExLP MN</t>
  </si>
  <si>
    <t>C/C Coligadas ExLP ME</t>
  </si>
  <si>
    <t>Provisão IR/CS LP</t>
  </si>
  <si>
    <t>Provisão p/ Contingências LP</t>
  </si>
  <si>
    <t>Outros Passivos ExLP</t>
  </si>
  <si>
    <t>REF (Deferred Income)</t>
  </si>
  <si>
    <t>Receitas</t>
  </si>
  <si>
    <t>Custos</t>
  </si>
  <si>
    <t>PL (Net Worth)</t>
  </si>
  <si>
    <t>Participação dos Minoritários</t>
  </si>
  <si>
    <t xml:space="preserve">Capital Social </t>
  </si>
  <si>
    <t>Reserva de Capital</t>
  </si>
  <si>
    <t>Reserva de Reavaliação</t>
  </si>
  <si>
    <t>Reserva Legal</t>
  </si>
  <si>
    <t>Lucro/Prejuízo Acumulado</t>
  </si>
  <si>
    <t>Ações em Tesouraria</t>
  </si>
  <si>
    <t>Outras Reservas</t>
  </si>
  <si>
    <t>PASSIVO TOTAL (Total Liabilities)</t>
  </si>
  <si>
    <t>Controle</t>
  </si>
  <si>
    <t>Vendas Brutas</t>
  </si>
  <si>
    <t>Vendas Mercado Interno</t>
  </si>
  <si>
    <t>Vendas Mercado Externo</t>
  </si>
  <si>
    <t>Serviços</t>
  </si>
  <si>
    <t>Outros</t>
  </si>
  <si>
    <t>Deduções Totais</t>
  </si>
  <si>
    <t>(-) Impostos s/ Vendas M. Interno</t>
  </si>
  <si>
    <t>(-) Impostos s/ Vendas M. Externo</t>
  </si>
  <si>
    <t>(-) Impostos s/ Serviços</t>
  </si>
  <si>
    <t>(-) Impostos s/ Outros</t>
  </si>
  <si>
    <t>(-) Impostos Totais</t>
  </si>
  <si>
    <t>(-) Descontos</t>
  </si>
  <si>
    <t>(-) Devoluções</t>
  </si>
  <si>
    <t>Vendas Líquidas</t>
  </si>
  <si>
    <t>CMV Variável MN</t>
  </si>
  <si>
    <t>CMV Variável ME</t>
  </si>
  <si>
    <t>CMV Fixo MN</t>
  </si>
  <si>
    <t>CMV Fixo ME</t>
  </si>
  <si>
    <t>CMV Caixa</t>
  </si>
  <si>
    <t>Depreciação</t>
  </si>
  <si>
    <t>Amortização</t>
  </si>
  <si>
    <t>Depreciação / Amortização Total</t>
  </si>
  <si>
    <t>CMV Total</t>
  </si>
  <si>
    <t>Lucro Bruto</t>
  </si>
  <si>
    <t>Despesas Administrativas</t>
  </si>
  <si>
    <t>Honorários da Administração</t>
  </si>
  <si>
    <t>Despesas de Vendas</t>
  </si>
  <si>
    <t>Outras Despesas Operacionais</t>
  </si>
  <si>
    <t>Outras Receitas Operacionais</t>
  </si>
  <si>
    <t>Resultado Operac Antes Res Financeiro</t>
  </si>
  <si>
    <t>Despesas Financeiras Caixa</t>
  </si>
  <si>
    <t>Receitas Financeiras Caixa</t>
  </si>
  <si>
    <t>Despesas Financeiras Não Caixa</t>
  </si>
  <si>
    <t>Receitas Financeiras Não Caixa</t>
  </si>
  <si>
    <t>Amortização Diferido Cambial</t>
  </si>
  <si>
    <t>Res. Após Rec./Desp. Financeiras</t>
  </si>
  <si>
    <t>Receita Não Operacional Caixa</t>
  </si>
  <si>
    <t>Despesa Não Operacional Caixa</t>
  </si>
  <si>
    <t>Resultado Não Operacional Não Caixa</t>
  </si>
  <si>
    <t>Participação nos Resultados</t>
  </si>
  <si>
    <t>Res. Antes Efeitos Monetários</t>
  </si>
  <si>
    <t>Res. Correção Monetária</t>
  </si>
  <si>
    <t>Equivalência Patrimonial</t>
  </si>
  <si>
    <t>Res. Antes IR / CS</t>
  </si>
  <si>
    <t>Imposto de Renda</t>
  </si>
  <si>
    <t>Contribuição Social</t>
  </si>
  <si>
    <t>Ajuste de Conversão de Moeda</t>
  </si>
  <si>
    <t>Lucro Líquido</t>
  </si>
  <si>
    <t>Depreciação Total</t>
  </si>
  <si>
    <t>Amortização Total</t>
  </si>
  <si>
    <t>Depr / Amort / Exaustão Total</t>
  </si>
  <si>
    <t>Depreciação sobre Reavaliação</t>
  </si>
  <si>
    <t>Depreciação para I.R.</t>
  </si>
  <si>
    <t>Dividendos Recebidos (+)</t>
  </si>
  <si>
    <t>Dividendos Pagos ( Res. + P.L.) (-)</t>
  </si>
  <si>
    <t>I.R. no P.L. (-)</t>
  </si>
  <si>
    <t>Reavaliação / (Reversão) no P. Líquido</t>
  </si>
  <si>
    <t xml:space="preserve">Aum. / (Red) de Capital </t>
  </si>
  <si>
    <t>Reavaliação / (Reversão) no Diferido</t>
  </si>
  <si>
    <t>Reavaliação / (Reversão) no Imobilizado</t>
  </si>
  <si>
    <t>Reavaliação / (Reversão) no Investimentos</t>
  </si>
  <si>
    <t>Mostra Variação Monetária de LP?</t>
  </si>
  <si>
    <t>Receitas Financeiras LP</t>
  </si>
  <si>
    <t>Dupls a Receber LP</t>
  </si>
  <si>
    <t>Adto. Fornecedores LP</t>
  </si>
  <si>
    <t>C/C Coligadas LP</t>
  </si>
  <si>
    <t>Crédito Tributário-IR LP</t>
  </si>
  <si>
    <t>Despesas Financeiras LP</t>
  </si>
  <si>
    <t>Fornecedores Operacionais LP</t>
  </si>
  <si>
    <t>Outros Fornecedores LP</t>
  </si>
  <si>
    <t>Bancos LP MN</t>
  </si>
  <si>
    <t>Bancos LP ME</t>
  </si>
  <si>
    <t>Adto. Clientes LP</t>
  </si>
  <si>
    <t>Provisão IR / CS LP</t>
  </si>
  <si>
    <t>Sim</t>
  </si>
  <si>
    <t>Balancete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</si>
</sst>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mmm/yyyy"/>
    <numFmt numFmtId="165" formatCode="#,##0.0_);[Red]\(#,##0.0\)"/>
    <numFmt numFmtId="166" formatCode="#,##0.0000_);[Red]\(#,##0.0000\)"/>
    <numFmt numFmtId="167" formatCode="mmm\-yyyy\ "/>
    <numFmt numFmtId="168" formatCode="#,##0.0_ ;[Red]\-#,##0.0\ "/>
    <numFmt numFmtId="169" formatCode="#,##0.0;[Red]\-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Courier"/>
      <family val="3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4" fillId="0" borderId="0"/>
    <xf numFmtId="37" fontId="7" fillId="0" borderId="0"/>
    <xf numFmtId="40" fontId="2" fillId="0" borderId="0"/>
    <xf numFmtId="43" fontId="1" fillId="0" borderId="0"/>
  </cellStyleXfs>
  <cellXfs count="60">
    <xf numFmtId="0" fontId="0" fillId="0" borderId="0" xfId="0"/>
    <xf numFmtId="38" fontId="3" fillId="0" borderId="0" xfId="1" applyNumberFormat="1" applyFont="1" applyAlignment="1" applyProtection="1">
      <alignment vertical="center"/>
      <protection locked="0"/>
    </xf>
    <xf numFmtId="164" fontId="5" fillId="3" borderId="1" xfId="1" applyNumberFormat="1" applyFont="1" applyFill="1" applyBorder="1" applyAlignment="1" applyProtection="1">
      <alignment horizontal="center" vertical="center"/>
      <protection locked="0"/>
    </xf>
    <xf numFmtId="38" fontId="3" fillId="4" borderId="1" xfId="1" applyNumberFormat="1" applyFont="1" applyFill="1" applyBorder="1" applyAlignment="1" applyProtection="1">
      <alignment horizontal="center" vertical="center"/>
      <protection locked="0"/>
    </xf>
    <xf numFmtId="38" fontId="3" fillId="0" borderId="1" xfId="1" applyNumberFormat="1" applyFont="1" applyBorder="1" applyAlignment="1" applyProtection="1">
      <alignment vertical="center"/>
      <protection locked="0"/>
    </xf>
    <xf numFmtId="9" fontId="3" fillId="2" borderId="1" xfId="1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38" fontId="3" fillId="2" borderId="0" xfId="1" applyNumberFormat="1" applyFont="1" applyFill="1" applyAlignment="1" applyProtection="1">
      <alignment horizontal="right" vertical="center"/>
      <protection locked="0"/>
    </xf>
    <xf numFmtId="38" fontId="5" fillId="0" borderId="1" xfId="1" applyNumberFormat="1" applyFont="1" applyBorder="1" applyAlignment="1" applyProtection="1">
      <alignment horizontal="center" vertical="center"/>
      <protection locked="0"/>
    </xf>
    <xf numFmtId="166" fontId="3" fillId="0" borderId="1" xfId="1" applyNumberFormat="1" applyFont="1" applyBorder="1" applyAlignment="1" applyProtection="1">
      <alignment horizontal="right" vertical="center"/>
      <protection locked="0"/>
    </xf>
    <xf numFmtId="38" fontId="3" fillId="2" borderId="0" xfId="1" applyNumberFormat="1" applyFont="1" applyFill="1" applyAlignment="1" applyProtection="1">
      <alignment vertical="center"/>
      <protection locked="0"/>
    </xf>
    <xf numFmtId="167" fontId="5" fillId="2" borderId="0" xfId="1" applyNumberFormat="1" applyFont="1" applyFill="1" applyAlignment="1" applyProtection="1">
      <alignment vertical="center"/>
      <protection locked="0"/>
    </xf>
    <xf numFmtId="38" fontId="5" fillId="5" borderId="2" xfId="1" applyNumberFormat="1" applyFont="1" applyFill="1" applyBorder="1" applyAlignment="1" applyProtection="1">
      <alignment horizontal="right" vertical="center"/>
      <protection locked="0"/>
    </xf>
    <xf numFmtId="166" fontId="5" fillId="5" borderId="3" xfId="2" applyNumberFormat="1" applyFont="1" applyFill="1" applyBorder="1" applyAlignment="1" applyProtection="1">
      <alignment horizontal="center" vertical="center"/>
      <protection locked="0"/>
    </xf>
    <xf numFmtId="166" fontId="5" fillId="5" borderId="4" xfId="2" applyNumberFormat="1" applyFont="1" applyFill="1" applyBorder="1" applyAlignment="1" applyProtection="1">
      <alignment horizontal="center" vertical="center"/>
      <protection locked="0"/>
    </xf>
    <xf numFmtId="38" fontId="5" fillId="2" borderId="1" xfId="1" applyNumberFormat="1" applyFont="1" applyFill="1" applyBorder="1" applyAlignment="1" applyProtection="1">
      <alignment vertical="center"/>
      <protection locked="0"/>
    </xf>
    <xf numFmtId="38" fontId="3" fillId="2" borderId="1" xfId="1" applyNumberFormat="1" applyFont="1" applyFill="1" applyBorder="1" applyAlignment="1" applyProtection="1">
      <alignment vertical="center"/>
      <protection locked="0"/>
    </xf>
    <xf numFmtId="38" fontId="3" fillId="6" borderId="1" xfId="1" applyNumberFormat="1" applyFont="1" applyFill="1" applyBorder="1" applyAlignment="1" applyProtection="1">
      <alignment vertical="center"/>
      <protection locked="0"/>
    </xf>
    <xf numFmtId="38" fontId="3" fillId="7" borderId="1" xfId="1" applyNumberFormat="1" applyFont="1" applyFill="1" applyBorder="1" applyAlignment="1" applyProtection="1">
      <alignment vertical="center"/>
      <protection locked="0"/>
    </xf>
    <xf numFmtId="38" fontId="3" fillId="8" borderId="1" xfId="1" applyNumberFormat="1" applyFont="1" applyFill="1" applyBorder="1" applyAlignment="1" applyProtection="1">
      <alignment vertical="center"/>
      <protection locked="0"/>
    </xf>
    <xf numFmtId="38" fontId="5" fillId="2" borderId="5" xfId="1" applyNumberFormat="1" applyFont="1" applyFill="1" applyBorder="1" applyAlignment="1" applyProtection="1">
      <alignment vertical="center"/>
      <protection locked="0"/>
    </xf>
    <xf numFmtId="38" fontId="3" fillId="9" borderId="1" xfId="1" applyNumberFormat="1" applyFont="1" applyFill="1" applyBorder="1" applyAlignment="1" applyProtection="1">
      <alignment vertical="center"/>
      <protection locked="0"/>
    </xf>
    <xf numFmtId="38" fontId="6" fillId="2" borderId="0" xfId="1" applyNumberFormat="1" applyFont="1" applyFill="1" applyAlignment="1" applyProtection="1">
      <alignment horizontal="center" vertical="center"/>
      <protection locked="0"/>
    </xf>
    <xf numFmtId="38" fontId="5" fillId="2" borderId="3" xfId="1" applyNumberFormat="1" applyFont="1" applyFill="1" applyBorder="1" applyAlignment="1" applyProtection="1">
      <alignment vertical="center"/>
      <protection locked="0"/>
    </xf>
    <xf numFmtId="38" fontId="3" fillId="2" borderId="3" xfId="1" applyNumberFormat="1" applyFont="1" applyFill="1" applyBorder="1" applyAlignment="1" applyProtection="1">
      <alignment vertical="center"/>
      <protection locked="0"/>
    </xf>
    <xf numFmtId="38" fontId="3" fillId="2" borderId="6" xfId="1" applyNumberFormat="1" applyFont="1" applyFill="1" applyBorder="1" applyAlignment="1" applyProtection="1">
      <alignment vertical="center"/>
      <protection locked="0"/>
    </xf>
    <xf numFmtId="38" fontId="5" fillId="2" borderId="4" xfId="1" applyNumberFormat="1" applyFont="1" applyFill="1" applyBorder="1" applyAlignment="1" applyProtection="1">
      <alignment vertical="center"/>
      <protection locked="0"/>
    </xf>
    <xf numFmtId="38" fontId="3" fillId="2" borderId="4" xfId="1" applyNumberFormat="1" applyFont="1" applyFill="1" applyBorder="1" applyAlignment="1" applyProtection="1">
      <alignment vertical="center"/>
      <protection locked="0"/>
    </xf>
    <xf numFmtId="166" fontId="3" fillId="2" borderId="0" xfId="1" applyNumberFormat="1" applyFont="1" applyFill="1" applyAlignment="1" applyProtection="1">
      <alignment horizontal="right" vertical="center"/>
      <protection locked="0"/>
    </xf>
    <xf numFmtId="38" fontId="5" fillId="2" borderId="0" xfId="1" applyNumberFormat="1" applyFont="1" applyFill="1" applyAlignment="1" applyProtection="1">
      <alignment vertical="center"/>
      <protection locked="0"/>
    </xf>
    <xf numFmtId="38" fontId="3" fillId="3" borderId="1" xfId="1" applyNumberFormat="1" applyFont="1" applyFill="1" applyBorder="1" applyAlignment="1" applyProtection="1">
      <alignment vertical="center"/>
      <protection locked="0"/>
    </xf>
    <xf numFmtId="38" fontId="5" fillId="2" borderId="1" xfId="3" applyNumberFormat="1" applyFont="1" applyFill="1" applyBorder="1" applyAlignment="1" applyProtection="1">
      <alignment vertical="center"/>
      <protection locked="0"/>
    </xf>
    <xf numFmtId="17" fontId="5" fillId="2" borderId="0" xfId="1" applyNumberFormat="1" applyFont="1" applyFill="1" applyAlignment="1" applyProtection="1">
      <alignment vertical="center"/>
      <protection locked="0"/>
    </xf>
    <xf numFmtId="38" fontId="3" fillId="2" borderId="7" xfId="1" applyNumberFormat="1" applyFont="1" applyFill="1" applyBorder="1" applyAlignment="1" applyProtection="1">
      <alignment vertical="center"/>
      <protection locked="0"/>
    </xf>
    <xf numFmtId="38" fontId="3" fillId="2" borderId="8" xfId="1" applyNumberFormat="1" applyFont="1" applyFill="1" applyBorder="1" applyAlignment="1" applyProtection="1">
      <alignment vertical="center"/>
      <protection locked="0"/>
    </xf>
    <xf numFmtId="38" fontId="3" fillId="2" borderId="1" xfId="1" applyNumberFormat="1" applyFont="1" applyFill="1" applyBorder="1" applyAlignment="1" applyProtection="1">
      <alignment horizontal="right" vertical="center"/>
      <protection locked="0"/>
    </xf>
    <xf numFmtId="38" fontId="3" fillId="0" borderId="1" xfId="1" applyNumberFormat="1" applyFont="1" applyBorder="1" applyAlignment="1" applyProtection="1">
      <alignment horizontal="right" vertical="center"/>
      <protection locked="0"/>
    </xf>
    <xf numFmtId="168" fontId="5" fillId="2" borderId="1" xfId="1" applyNumberFormat="1" applyFont="1" applyFill="1" applyBorder="1" applyAlignment="1" applyProtection="1">
      <alignment vertical="center"/>
      <protection locked="0"/>
    </xf>
    <xf numFmtId="168" fontId="3" fillId="2" borderId="1" xfId="1" applyNumberFormat="1" applyFont="1" applyFill="1" applyBorder="1" applyAlignment="1" applyProtection="1">
      <alignment vertical="center"/>
      <protection hidden="1"/>
    </xf>
    <xf numFmtId="38" fontId="3" fillId="2" borderId="1" xfId="1" applyNumberFormat="1" applyFont="1" applyFill="1" applyBorder="1" applyAlignment="1" applyProtection="1">
      <alignment vertical="center"/>
      <protection hidden="1"/>
    </xf>
    <xf numFmtId="38" fontId="3" fillId="10" borderId="2" xfId="1" applyNumberFormat="1" applyFont="1" applyFill="1" applyBorder="1" applyAlignment="1">
      <alignment vertical="center"/>
    </xf>
    <xf numFmtId="167" fontId="5" fillId="2" borderId="4" xfId="1" applyNumberFormat="1" applyFont="1" applyFill="1" applyBorder="1" applyAlignment="1" applyProtection="1">
      <alignment vertical="center"/>
      <protection locked="0"/>
    </xf>
    <xf numFmtId="169" fontId="5" fillId="2" borderId="1" xfId="4" applyNumberFormat="1" applyFont="1" applyFill="1" applyBorder="1" applyAlignment="1" applyProtection="1">
      <alignment horizontal="center" vertical="center"/>
      <protection hidden="1"/>
    </xf>
    <xf numFmtId="169" fontId="5" fillId="2" borderId="1" xfId="4" applyNumberFormat="1" applyFont="1" applyFill="1" applyBorder="1" applyAlignment="1" applyProtection="1">
      <alignment vertical="center"/>
      <protection hidden="1"/>
    </xf>
    <xf numFmtId="38" fontId="5" fillId="0" borderId="0" xfId="1" applyNumberFormat="1" applyFont="1" applyAlignment="1">
      <alignment vertical="center"/>
    </xf>
    <xf numFmtId="1" fontId="3" fillId="0" borderId="1" xfId="1" quotePrefix="1" applyNumberFormat="1" applyFont="1" applyBorder="1" applyAlignment="1" applyProtection="1">
      <alignment horizontal="center" vertical="center"/>
      <protection locked="0"/>
    </xf>
    <xf numFmtId="168" fontId="5" fillId="0" borderId="1" xfId="1" applyNumberFormat="1" applyFont="1" applyBorder="1" applyAlignment="1" applyProtection="1">
      <alignment horizontal="center" vertical="center"/>
      <protection locked="0"/>
    </xf>
    <xf numFmtId="169" fontId="5" fillId="0" borderId="1" xfId="4" applyNumberFormat="1" applyFont="1" applyBorder="1" applyAlignment="1" applyProtection="1">
      <alignment vertical="center"/>
      <protection hidden="1"/>
    </xf>
    <xf numFmtId="167" fontId="5" fillId="2" borderId="1" xfId="1" applyNumberFormat="1" applyFont="1" applyFill="1" applyBorder="1" applyAlignment="1" applyProtection="1">
      <alignment vertical="center"/>
      <protection locked="0"/>
    </xf>
    <xf numFmtId="38" fontId="4" fillId="2" borderId="9" xfId="1" applyNumberFormat="1" applyFont="1" applyFill="1" applyBorder="1" applyAlignment="1" applyProtection="1">
      <alignment vertical="center"/>
      <protection locked="0"/>
    </xf>
    <xf numFmtId="38" fontId="3" fillId="2" borderId="10" xfId="1" applyNumberFormat="1" applyFont="1" applyFill="1" applyBorder="1" applyAlignment="1" applyProtection="1">
      <alignment horizontal="left" vertical="center"/>
      <protection locked="0"/>
    </xf>
    <xf numFmtId="38" fontId="3" fillId="0" borderId="1" xfId="4" applyNumberFormat="1" applyFont="1" applyBorder="1" applyAlignment="1" applyProtection="1">
      <alignment vertical="center"/>
      <protection locked="0"/>
    </xf>
    <xf numFmtId="38" fontId="4" fillId="2" borderId="11" xfId="1" applyNumberFormat="1" applyFont="1" applyFill="1" applyBorder="1" applyAlignment="1" applyProtection="1">
      <alignment vertical="center"/>
      <protection locked="0"/>
    </xf>
    <xf numFmtId="38" fontId="3" fillId="2" borderId="2" xfId="1" applyNumberFormat="1" applyFont="1" applyFill="1" applyBorder="1" applyAlignment="1" applyProtection="1">
      <alignment horizontal="left" vertical="center"/>
      <protection locked="0"/>
    </xf>
    <xf numFmtId="38" fontId="3" fillId="0" borderId="1" xfId="5" applyNumberFormat="1" applyFont="1" applyBorder="1" applyAlignment="1" applyProtection="1">
      <alignment vertical="center"/>
      <protection locked="0"/>
    </xf>
    <xf numFmtId="38" fontId="5" fillId="0" borderId="1" xfId="1" applyNumberFormat="1" applyFont="1" applyBorder="1" applyAlignment="1" applyProtection="1">
      <alignment vertical="center"/>
      <protection locked="0"/>
    </xf>
    <xf numFmtId="38" fontId="4" fillId="11" borderId="9" xfId="1" applyNumberFormat="1" applyFont="1" applyFill="1" applyBorder="1" applyAlignment="1" applyProtection="1">
      <alignment vertical="center"/>
      <protection locked="0"/>
    </xf>
    <xf numFmtId="0" fontId="0" fillId="9" borderId="0" xfId="0" applyFill="1"/>
    <xf numFmtId="38" fontId="3" fillId="12" borderId="1" xfId="1" applyNumberFormat="1" applyFont="1" applyFill="1" applyBorder="1" applyAlignment="1" applyProtection="1">
      <alignment vertical="center"/>
      <protection locked="0"/>
    </xf>
    <xf numFmtId="0" fontId="0" fillId="12" borderId="0" xfId="0" applyFill="1"/>
  </cellXfs>
  <cellStyles count="6">
    <cellStyle name="Comma" xfId="5" builtinId="3"/>
    <cellStyle name="Comma 2 3" xfId="4" xr:uid="{00000000-0005-0000-0000-000004000000}"/>
    <cellStyle name="Normal" xfId="0" builtinId="0"/>
    <cellStyle name="Normal 12" xfId="3" xr:uid="{00000000-0005-0000-0000-000003000000}"/>
    <cellStyle name="Normal_Rating Enersul 2" xfId="2" xr:uid="{00000000-0005-0000-0000-000002000000}"/>
    <cellStyle name="Normal_spread_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26"/>
  <sheetViews>
    <sheetView tabSelected="1" topLeftCell="B1" zoomScale="130" zoomScaleNormal="130" workbookViewId="0">
      <selection activeCell="J17" sqref="J17"/>
    </sheetView>
  </sheetViews>
  <sheetFormatPr defaultColWidth="8.85546875" defaultRowHeight="15" x14ac:dyDescent="0.25"/>
  <cols>
    <col min="1" max="1" width="0" hidden="1"/>
    <col min="2" max="2" width="52.7109375" bestFit="1" customWidth="1"/>
    <col min="3" max="3" width="0" hidden="1"/>
    <col min="4" max="4" width="14.28515625" style="1" customWidth="1"/>
    <col min="5" max="5" width="14.28515625" style="1" hidden="1" customWidth="1"/>
    <col min="6" max="6" width="14.28515625" style="1" customWidth="1"/>
    <col min="7" max="7" width="0" hidden="1"/>
    <col min="8" max="8" width="14.28515625" style="1" customWidth="1"/>
    <col min="9" max="9" width="0" hidden="1" customWidth="1"/>
    <col min="10" max="10" width="14.28515625" style="1" customWidth="1"/>
    <col min="11" max="11" width="0" hidden="1"/>
    <col min="12" max="12" width="14.28515625" style="1" customWidth="1"/>
    <col min="14" max="14" width="14.28515625" customWidth="1"/>
  </cols>
  <sheetData>
    <row r="2" spans="2:12" x14ac:dyDescent="0.25">
      <c r="D2" s="52"/>
      <c r="E2" s="52"/>
      <c r="F2" s="52"/>
      <c r="H2" s="49"/>
      <c r="J2" s="52"/>
      <c r="L2" s="56" t="s">
        <v>205</v>
      </c>
    </row>
    <row r="3" spans="2:12" x14ac:dyDescent="0.25">
      <c r="B3" s="5" t="s">
        <v>0</v>
      </c>
      <c r="D3" s="2">
        <v>44926</v>
      </c>
      <c r="E3" s="2"/>
      <c r="F3" s="2">
        <v>45291</v>
      </c>
      <c r="G3" s="2">
        <v>45291</v>
      </c>
      <c r="H3" s="2">
        <v>45657</v>
      </c>
      <c r="J3" s="2">
        <v>46022</v>
      </c>
      <c r="L3" s="2"/>
    </row>
    <row r="4" spans="2:12" x14ac:dyDescent="0.25">
      <c r="B4" s="5" t="s">
        <v>1</v>
      </c>
      <c r="D4" s="3">
        <v>12</v>
      </c>
      <c r="E4" s="3"/>
      <c r="F4" s="3">
        <v>12</v>
      </c>
      <c r="G4" s="3">
        <v>12</v>
      </c>
      <c r="H4" s="3">
        <v>12</v>
      </c>
      <c r="J4" s="3">
        <v>12</v>
      </c>
      <c r="L4" s="3"/>
    </row>
    <row r="5" spans="2:12" x14ac:dyDescent="0.25">
      <c r="B5" s="5" t="s">
        <v>2</v>
      </c>
      <c r="D5" s="53"/>
      <c r="E5" s="53"/>
      <c r="F5" s="53"/>
      <c r="H5" s="50"/>
      <c r="J5" s="53"/>
      <c r="L5" s="50"/>
    </row>
    <row r="6" spans="2:12" x14ac:dyDescent="0.25">
      <c r="B6" s="5" t="s">
        <v>3</v>
      </c>
      <c r="D6" s="4" t="s">
        <v>4</v>
      </c>
      <c r="E6" s="4"/>
      <c r="F6" s="4" t="s">
        <v>4</v>
      </c>
      <c r="G6" s="4" t="s">
        <v>4</v>
      </c>
      <c r="H6" s="4" t="s">
        <v>4</v>
      </c>
      <c r="J6" s="4"/>
      <c r="L6" s="4"/>
    </row>
    <row r="7" spans="2:12" x14ac:dyDescent="0.25">
      <c r="B7" s="5" t="s">
        <v>5</v>
      </c>
      <c r="D7" s="5"/>
      <c r="E7" s="5"/>
      <c r="F7" s="5"/>
      <c r="H7" s="5"/>
      <c r="J7" s="5"/>
      <c r="L7" s="5"/>
    </row>
    <row r="8" spans="2:12" x14ac:dyDescent="0.25">
      <c r="B8" s="5" t="s">
        <v>6</v>
      </c>
      <c r="D8" s="5"/>
      <c r="E8" s="5"/>
      <c r="F8" s="5"/>
      <c r="H8" s="5"/>
      <c r="J8" s="5"/>
      <c r="L8" s="5"/>
    </row>
    <row r="9" spans="2:12" x14ac:dyDescent="0.25">
      <c r="B9" s="5" t="s">
        <v>7</v>
      </c>
      <c r="D9" s="6"/>
      <c r="E9" s="6"/>
      <c r="F9" s="6"/>
      <c r="H9" s="6"/>
      <c r="J9" s="6"/>
      <c r="L9" s="6"/>
    </row>
    <row r="10" spans="2:12" x14ac:dyDescent="0.25">
      <c r="B10" s="5" t="s">
        <v>8</v>
      </c>
      <c r="D10" s="6"/>
      <c r="E10" s="6"/>
      <c r="F10" s="6"/>
      <c r="H10" s="6"/>
      <c r="J10" s="6"/>
      <c r="L10" s="6"/>
    </row>
    <row r="11" spans="2:12" x14ac:dyDescent="0.25">
      <c r="B11" s="5" t="s">
        <v>9</v>
      </c>
      <c r="D11" s="6"/>
      <c r="E11" s="6"/>
      <c r="F11" s="6"/>
      <c r="H11" s="6"/>
      <c r="J11" s="6"/>
      <c r="L11" s="6"/>
    </row>
    <row r="12" spans="2:12" x14ac:dyDescent="0.25">
      <c r="B12" s="5"/>
      <c r="D12" s="7"/>
      <c r="E12" s="7"/>
      <c r="F12" s="7"/>
      <c r="H12" s="7"/>
      <c r="J12" s="7"/>
      <c r="L12" s="7"/>
    </row>
    <row r="13" spans="2:12" x14ac:dyDescent="0.25">
      <c r="B13" s="5" t="s">
        <v>10</v>
      </c>
      <c r="D13" s="4"/>
      <c r="E13" s="4"/>
      <c r="F13" s="4"/>
      <c r="H13" s="4"/>
      <c r="J13" s="4"/>
      <c r="L13" s="4"/>
    </row>
    <row r="14" spans="2:12" x14ac:dyDescent="0.25">
      <c r="B14" s="5" t="s">
        <v>11</v>
      </c>
      <c r="D14" s="4"/>
      <c r="E14" s="4"/>
      <c r="F14" s="4"/>
      <c r="H14" s="4"/>
      <c r="J14" s="4"/>
      <c r="L14" s="4"/>
    </row>
    <row r="15" spans="2:12" x14ac:dyDescent="0.25">
      <c r="B15" s="5" t="s">
        <v>12</v>
      </c>
      <c r="D15" s="4"/>
      <c r="E15" s="4"/>
      <c r="F15" s="4"/>
      <c r="H15" s="4"/>
      <c r="J15" s="4"/>
      <c r="L15" s="4"/>
    </row>
    <row r="16" spans="2:12" x14ac:dyDescent="0.25">
      <c r="B16" s="5" t="s">
        <v>13</v>
      </c>
      <c r="D16" s="4"/>
      <c r="E16" s="4"/>
      <c r="F16" s="4"/>
      <c r="H16" s="4"/>
      <c r="J16" s="4"/>
      <c r="L16" s="4"/>
    </row>
    <row r="17" spans="2:12" x14ac:dyDescent="0.25">
      <c r="B17" s="5" t="s">
        <v>14</v>
      </c>
      <c r="D17" s="8" t="s">
        <v>15</v>
      </c>
      <c r="E17" s="8"/>
      <c r="F17" s="8" t="s">
        <v>15</v>
      </c>
      <c r="G17" s="8" t="s">
        <v>15</v>
      </c>
      <c r="H17" s="8" t="s">
        <v>15</v>
      </c>
      <c r="I17" s="8" t="s">
        <v>15</v>
      </c>
      <c r="J17" s="8" t="s">
        <v>15</v>
      </c>
      <c r="K17" s="8" t="s">
        <v>15</v>
      </c>
      <c r="L17" s="8" t="s">
        <v>15</v>
      </c>
    </row>
    <row r="18" spans="2:12" x14ac:dyDescent="0.25">
      <c r="B18" s="5" t="s">
        <v>16</v>
      </c>
      <c r="D18" s="9">
        <v>1</v>
      </c>
      <c r="E18" s="9"/>
      <c r="F18" s="9">
        <v>1</v>
      </c>
      <c r="G18" s="9">
        <v>1</v>
      </c>
      <c r="H18" s="9">
        <v>1</v>
      </c>
      <c r="I18" s="9">
        <v>1</v>
      </c>
      <c r="J18" s="9">
        <v>1</v>
      </c>
      <c r="K18" s="9">
        <v>1</v>
      </c>
      <c r="L18" s="9">
        <v>1</v>
      </c>
    </row>
    <row r="19" spans="2:12" x14ac:dyDescent="0.25">
      <c r="B19" s="5" t="s">
        <v>17</v>
      </c>
      <c r="D19" s="9">
        <v>1</v>
      </c>
      <c r="E19" s="9"/>
      <c r="F19" s="9">
        <v>1</v>
      </c>
      <c r="G19" s="9">
        <v>1</v>
      </c>
      <c r="H19" s="9">
        <v>1</v>
      </c>
      <c r="I19" s="9">
        <v>1</v>
      </c>
      <c r="J19" s="9">
        <v>1</v>
      </c>
      <c r="K19" s="9">
        <v>1</v>
      </c>
      <c r="L19" s="9">
        <v>1</v>
      </c>
    </row>
    <row r="20" spans="2:12" x14ac:dyDescent="0.25">
      <c r="B20" s="5" t="s">
        <v>18</v>
      </c>
      <c r="D20" s="10"/>
      <c r="E20" s="10"/>
      <c r="F20" s="10"/>
      <c r="H20" s="10"/>
      <c r="J20" s="10"/>
      <c r="L20" s="10"/>
    </row>
    <row r="21" spans="2:12" x14ac:dyDescent="0.25">
      <c r="B21" s="5"/>
      <c r="D21" s="11"/>
      <c r="E21" s="11"/>
      <c r="F21" s="11"/>
      <c r="H21" s="11"/>
      <c r="J21" s="11"/>
      <c r="L21" s="11"/>
    </row>
    <row r="22" spans="2:12" x14ac:dyDescent="0.25">
      <c r="B22" s="5" t="s">
        <v>19</v>
      </c>
      <c r="D22" s="12"/>
      <c r="E22" s="12"/>
      <c r="F22" s="12"/>
      <c r="H22" s="12"/>
      <c r="J22" s="12"/>
      <c r="L22" s="12"/>
    </row>
    <row r="23" spans="2:12" x14ac:dyDescent="0.25">
      <c r="B23" s="5" t="s">
        <v>20</v>
      </c>
      <c r="D23" s="13">
        <v>5</v>
      </c>
      <c r="E23" s="13"/>
      <c r="F23" s="13">
        <v>5</v>
      </c>
      <c r="G23" s="13"/>
      <c r="H23" s="13">
        <v>5</v>
      </c>
      <c r="I23" s="13">
        <v>5</v>
      </c>
      <c r="J23" s="13">
        <v>5</v>
      </c>
      <c r="K23" s="13">
        <v>5</v>
      </c>
      <c r="L23" s="13">
        <v>5</v>
      </c>
    </row>
    <row r="24" spans="2:12" x14ac:dyDescent="0.25">
      <c r="B24" s="5" t="s">
        <v>21</v>
      </c>
      <c r="D24" s="14">
        <v>5</v>
      </c>
      <c r="E24" s="14"/>
      <c r="F24" s="14">
        <v>5</v>
      </c>
      <c r="G24" s="14"/>
      <c r="H24" s="14">
        <v>5</v>
      </c>
      <c r="I24" s="14">
        <v>5</v>
      </c>
      <c r="J24" s="14">
        <v>5</v>
      </c>
      <c r="K24" s="14">
        <v>5</v>
      </c>
      <c r="L24" s="14">
        <v>5</v>
      </c>
    </row>
    <row r="25" spans="2:12" x14ac:dyDescent="0.25">
      <c r="B25" s="5"/>
      <c r="D25" s="11"/>
      <c r="E25" s="11"/>
      <c r="F25" s="11"/>
      <c r="H25" s="11"/>
      <c r="J25" s="11"/>
      <c r="L25" s="11"/>
    </row>
    <row r="26" spans="2:12" x14ac:dyDescent="0.25">
      <c r="B26" s="5"/>
      <c r="D26" s="11">
        <f>IF(D3&lt;&gt;"",D3,"")</f>
        <v>44926</v>
      </c>
      <c r="E26" s="11"/>
      <c r="F26" s="11">
        <f>IF(F3&lt;&gt;"",F3,"")</f>
        <v>45291</v>
      </c>
      <c r="G26" s="11">
        <f t="shared" ref="G26:L26" si="0">IF(G3&lt;&gt;"",G3,"")</f>
        <v>45291</v>
      </c>
      <c r="H26" s="11">
        <f>IF(H3&lt;&gt;"",H3,"")</f>
        <v>45657</v>
      </c>
      <c r="I26" s="11" t="str">
        <f t="shared" si="0"/>
        <v/>
      </c>
      <c r="J26" s="11">
        <f>IF(J3&lt;&gt;"",J3,"")</f>
        <v>46022</v>
      </c>
      <c r="K26" s="11" t="str">
        <f t="shared" si="0"/>
        <v/>
      </c>
      <c r="L26" s="11" t="str">
        <f t="shared" si="0"/>
        <v/>
      </c>
    </row>
    <row r="27" spans="2:12" x14ac:dyDescent="0.25">
      <c r="B27" s="5" t="s">
        <v>22</v>
      </c>
      <c r="D27" s="15">
        <f>SUM(D28:D31)+D32+D36+SUM(D40:D54)</f>
        <v>12986719</v>
      </c>
      <c r="E27" s="15"/>
      <c r="F27" s="15">
        <f>SUM(F28:F31)+F32+F36+SUM(F40:F54)</f>
        <v>18135700</v>
      </c>
      <c r="H27" s="15">
        <f>SUM(H28:H31)+H32+H36+SUM(H40:H54)</f>
        <v>24456769</v>
      </c>
      <c r="J27" s="15"/>
      <c r="L27" s="15"/>
    </row>
    <row r="28" spans="2:12" x14ac:dyDescent="0.25">
      <c r="B28" s="5" t="s">
        <v>23</v>
      </c>
      <c r="D28" s="4">
        <v>7071463</v>
      </c>
      <c r="E28" s="4"/>
      <c r="F28" s="4">
        <f>4009951+8668638</f>
        <v>12678589</v>
      </c>
      <c r="H28" s="4">
        <f>7550512+6910417</f>
        <v>14460929</v>
      </c>
      <c r="J28" s="4"/>
      <c r="L28" s="4"/>
    </row>
    <row r="29" spans="2:12" x14ac:dyDescent="0.25">
      <c r="B29" s="5" t="s">
        <v>24</v>
      </c>
      <c r="D29" s="4">
        <v>2487540</v>
      </c>
      <c r="E29" s="4"/>
      <c r="F29" s="4">
        <v>2402072</v>
      </c>
      <c r="H29" s="4">
        <v>4184159</v>
      </c>
      <c r="J29" s="4"/>
      <c r="L29" s="4"/>
    </row>
    <row r="30" spans="2:12" x14ac:dyDescent="0.25">
      <c r="B30" s="5" t="s">
        <v>25</v>
      </c>
      <c r="D30" s="4"/>
      <c r="E30" s="4"/>
      <c r="F30" s="4"/>
      <c r="H30" s="4"/>
      <c r="J30" s="4"/>
      <c r="L30" s="4"/>
    </row>
    <row r="31" spans="2:12" x14ac:dyDescent="0.25">
      <c r="B31" s="5" t="s">
        <v>26</v>
      </c>
      <c r="D31" s="4"/>
      <c r="E31" s="4"/>
      <c r="F31" s="4"/>
      <c r="H31" s="4"/>
      <c r="J31" s="4"/>
      <c r="L31" s="4"/>
    </row>
    <row r="32" spans="2:12" x14ac:dyDescent="0.25">
      <c r="B32" s="5" t="s">
        <v>27</v>
      </c>
      <c r="D32" s="16">
        <f>SUM(D33:D35)</f>
        <v>1658467</v>
      </c>
      <c r="E32" s="16"/>
      <c r="F32" s="16">
        <f>SUM(F33:F35)</f>
        <v>2017905</v>
      </c>
      <c r="G32" s="16">
        <f t="shared" ref="G32:L32" si="1">SUM(G33:G35)</f>
        <v>0</v>
      </c>
      <c r="H32" s="16">
        <f>SUM(H33:H35)</f>
        <v>4111385</v>
      </c>
      <c r="I32" s="16">
        <f t="shared" si="1"/>
        <v>0</v>
      </c>
      <c r="J32" s="16">
        <f>SUM(J33:J35)</f>
        <v>0</v>
      </c>
      <c r="K32" s="16">
        <f t="shared" si="1"/>
        <v>0</v>
      </c>
      <c r="L32" s="16">
        <f t="shared" si="1"/>
        <v>0</v>
      </c>
    </row>
    <row r="33" spans="2:12" x14ac:dyDescent="0.25">
      <c r="B33" s="5" t="s">
        <v>28</v>
      </c>
      <c r="D33" s="4">
        <v>1658467</v>
      </c>
      <c r="E33" s="4"/>
      <c r="F33" s="4">
        <v>2017905</v>
      </c>
      <c r="H33" s="4">
        <v>4111385</v>
      </c>
      <c r="J33" s="4"/>
      <c r="L33" s="4"/>
    </row>
    <row r="34" spans="2:12" x14ac:dyDescent="0.25">
      <c r="B34" s="5" t="s">
        <v>29</v>
      </c>
      <c r="D34" s="4"/>
      <c r="E34" s="4"/>
      <c r="F34" s="4"/>
      <c r="H34" s="4"/>
      <c r="J34" s="4"/>
      <c r="L34" s="4"/>
    </row>
    <row r="35" spans="2:12" x14ac:dyDescent="0.25">
      <c r="B35" s="5" t="s">
        <v>30</v>
      </c>
      <c r="D35" s="4"/>
      <c r="E35" s="4"/>
      <c r="F35" s="4"/>
      <c r="H35" s="4"/>
      <c r="J35" s="4"/>
      <c r="L35" s="4"/>
    </row>
    <row r="36" spans="2:12" x14ac:dyDescent="0.25">
      <c r="B36" s="5" t="s">
        <v>31</v>
      </c>
      <c r="D36" s="16">
        <f>SUM(D37:D39)</f>
        <v>0</v>
      </c>
      <c r="E36" s="16"/>
      <c r="F36" s="16">
        <f>SUM(F37:F39)</f>
        <v>0</v>
      </c>
      <c r="G36" s="16">
        <f t="shared" ref="G36:L36" si="2">SUM(G37:G39)</f>
        <v>0</v>
      </c>
      <c r="H36" s="16">
        <f>SUM(H37:H39)</f>
        <v>0</v>
      </c>
      <c r="I36" s="16">
        <f t="shared" si="2"/>
        <v>0</v>
      </c>
      <c r="J36" s="16">
        <f>SUM(J37:J39)</f>
        <v>0</v>
      </c>
      <c r="K36" s="16">
        <f t="shared" si="2"/>
        <v>0</v>
      </c>
      <c r="L36" s="16">
        <f t="shared" si="2"/>
        <v>0</v>
      </c>
    </row>
    <row r="37" spans="2:12" x14ac:dyDescent="0.25">
      <c r="B37" s="5" t="s">
        <v>28</v>
      </c>
      <c r="D37" s="4"/>
      <c r="E37" s="4"/>
      <c r="F37" s="4"/>
      <c r="H37" s="4"/>
      <c r="J37" s="4"/>
      <c r="L37" s="4"/>
    </row>
    <row r="38" spans="2:12" x14ac:dyDescent="0.25">
      <c r="B38" s="5" t="s">
        <v>29</v>
      </c>
      <c r="D38" s="4"/>
      <c r="E38" s="4"/>
      <c r="F38" s="4"/>
      <c r="H38" s="4"/>
      <c r="J38" s="4"/>
      <c r="L38" s="4"/>
    </row>
    <row r="39" spans="2:12" x14ac:dyDescent="0.25">
      <c r="B39" s="5" t="s">
        <v>30</v>
      </c>
      <c r="D39" s="4"/>
      <c r="E39" s="4"/>
      <c r="F39" s="4"/>
      <c r="H39" s="4"/>
      <c r="J39" s="4"/>
      <c r="L39" s="4"/>
    </row>
    <row r="40" spans="2:12" x14ac:dyDescent="0.25">
      <c r="B40" s="5" t="s">
        <v>32</v>
      </c>
      <c r="D40" s="4"/>
      <c r="E40" s="4"/>
      <c r="F40" s="4"/>
      <c r="H40" s="4"/>
      <c r="J40" s="4"/>
      <c r="L40" s="4"/>
    </row>
    <row r="41" spans="2:12" x14ac:dyDescent="0.25">
      <c r="B41" s="5" t="s">
        <v>33</v>
      </c>
      <c r="D41" s="4"/>
      <c r="E41" s="4"/>
      <c r="F41" s="4"/>
      <c r="H41" s="4"/>
      <c r="J41" s="4"/>
      <c r="L41" s="4"/>
    </row>
    <row r="42" spans="2:12" x14ac:dyDescent="0.25">
      <c r="B42" s="5" t="s">
        <v>34</v>
      </c>
      <c r="D42" s="4">
        <v>750670</v>
      </c>
      <c r="E42" s="4"/>
      <c r="F42" s="4">
        <v>545882</v>
      </c>
      <c r="H42" s="4">
        <v>1087191</v>
      </c>
      <c r="J42" s="4"/>
      <c r="L42" s="4"/>
    </row>
    <row r="43" spans="2:12" x14ac:dyDescent="0.25">
      <c r="B43" s="5" t="s">
        <v>35</v>
      </c>
      <c r="D43" s="4"/>
      <c r="E43" s="4"/>
      <c r="F43" s="4"/>
      <c r="H43" s="4"/>
      <c r="J43" s="4"/>
      <c r="L43" s="4"/>
    </row>
    <row r="44" spans="2:12" x14ac:dyDescent="0.25">
      <c r="B44" s="5" t="s">
        <v>36</v>
      </c>
      <c r="D44" s="4"/>
      <c r="E44" s="4"/>
      <c r="F44" s="4"/>
      <c r="H44" s="4"/>
      <c r="J44" s="4"/>
      <c r="L44" s="4"/>
    </row>
    <row r="45" spans="2:12" x14ac:dyDescent="0.25">
      <c r="B45" s="5" t="s">
        <v>37</v>
      </c>
      <c r="D45" s="4"/>
      <c r="E45" s="4"/>
      <c r="F45" s="4"/>
      <c r="H45" s="4"/>
      <c r="J45" s="4"/>
      <c r="L45" s="4"/>
    </row>
    <row r="46" spans="2:12" x14ac:dyDescent="0.25">
      <c r="B46" s="5" t="s">
        <v>38</v>
      </c>
      <c r="D46" s="17">
        <v>434897</v>
      </c>
      <c r="E46" s="17"/>
      <c r="F46" s="17">
        <v>55210</v>
      </c>
      <c r="H46" s="17">
        <v>22429</v>
      </c>
      <c r="J46" s="17"/>
      <c r="L46" s="17"/>
    </row>
    <row r="47" spans="2:12" x14ac:dyDescent="0.25">
      <c r="B47" s="5" t="s">
        <v>39</v>
      </c>
      <c r="D47" s="4"/>
      <c r="E47" s="4"/>
      <c r="F47" s="4"/>
      <c r="H47" s="4"/>
      <c r="J47" s="4"/>
      <c r="L47" s="4"/>
    </row>
    <row r="48" spans="2:12" x14ac:dyDescent="0.25">
      <c r="B48" s="5" t="s">
        <v>40</v>
      </c>
      <c r="D48" s="4"/>
      <c r="E48" s="4"/>
      <c r="F48" s="4"/>
      <c r="H48" s="4"/>
      <c r="J48" s="4"/>
      <c r="L48" s="4"/>
    </row>
    <row r="49" spans="2:12" x14ac:dyDescent="0.25">
      <c r="B49" s="5" t="s">
        <v>41</v>
      </c>
      <c r="D49" s="4"/>
      <c r="E49" s="4"/>
      <c r="F49" s="4"/>
      <c r="H49" s="4"/>
      <c r="J49" s="4"/>
      <c r="L49" s="4"/>
    </row>
    <row r="50" spans="2:12" x14ac:dyDescent="0.25">
      <c r="B50" s="5" t="s">
        <v>42</v>
      </c>
      <c r="D50" s="4"/>
      <c r="E50" s="4"/>
      <c r="F50" s="4"/>
      <c r="H50" s="4"/>
      <c r="J50" s="4"/>
      <c r="L50" s="4"/>
    </row>
    <row r="51" spans="2:12" x14ac:dyDescent="0.25">
      <c r="B51" s="5" t="s">
        <v>43</v>
      </c>
      <c r="D51" s="4"/>
      <c r="E51" s="4"/>
      <c r="F51" s="4"/>
      <c r="H51" s="4"/>
      <c r="J51" s="4"/>
      <c r="L51" s="4"/>
    </row>
    <row r="52" spans="2:12" x14ac:dyDescent="0.25">
      <c r="B52" s="5" t="s">
        <v>44</v>
      </c>
      <c r="D52" s="4"/>
      <c r="E52" s="4"/>
      <c r="F52" s="4"/>
      <c r="H52" s="4"/>
      <c r="J52" s="4"/>
      <c r="L52" s="4"/>
    </row>
    <row r="53" spans="2:12" x14ac:dyDescent="0.25">
      <c r="B53" s="5" t="s">
        <v>45</v>
      </c>
      <c r="D53" s="4"/>
      <c r="E53" s="4"/>
      <c r="F53" s="4"/>
      <c r="H53" s="4"/>
      <c r="J53" s="4"/>
      <c r="L53" s="4"/>
    </row>
    <row r="54" spans="2:12" x14ac:dyDescent="0.25">
      <c r="B54" s="5"/>
      <c r="D54" s="4">
        <v>583682</v>
      </c>
      <c r="E54" s="4"/>
      <c r="F54" s="4">
        <v>436042</v>
      </c>
      <c r="H54" s="4">
        <v>590676</v>
      </c>
      <c r="J54" s="4"/>
      <c r="L54" s="4"/>
    </row>
    <row r="55" spans="2:12" x14ac:dyDescent="0.25">
      <c r="B55" s="5" t="s">
        <v>46</v>
      </c>
      <c r="D55" s="10"/>
      <c r="E55" s="10"/>
      <c r="F55" s="10"/>
      <c r="H55" s="10"/>
      <c r="J55" s="10"/>
      <c r="L55" s="10"/>
    </row>
    <row r="56" spans="2:12" x14ac:dyDescent="0.25">
      <c r="B56" s="5" t="s">
        <v>47</v>
      </c>
      <c r="D56" s="15">
        <f>SUM(D57:D60)+D61+SUM(D62:D66)+D67+SUM(D68:D73)</f>
        <v>1111626</v>
      </c>
      <c r="E56" s="15"/>
      <c r="F56" s="15">
        <f>SUM(F57:F60)+F61+SUM(F62:F66)+F67+SUM(F68:F73)</f>
        <v>2866619</v>
      </c>
      <c r="G56" s="15">
        <f t="shared" ref="G56:L56" si="3">SUM(G57:G60)+G61+SUM(G62:G66)+G67+SUM(G68:G73)</f>
        <v>0</v>
      </c>
      <c r="H56" s="15">
        <f>SUM(H57:H60)+H61+SUM(H62:H66)+H67+SUM(H68:H73)</f>
        <v>1379875</v>
      </c>
      <c r="I56" s="15">
        <f t="shared" si="3"/>
        <v>0</v>
      </c>
      <c r="J56" s="15">
        <f>SUM(J57:J60)+J61+SUM(J62:J66)+J67+SUM(J68:J73)</f>
        <v>0</v>
      </c>
      <c r="K56" s="15">
        <f t="shared" si="3"/>
        <v>0</v>
      </c>
      <c r="L56" s="15">
        <f t="shared" si="3"/>
        <v>0</v>
      </c>
    </row>
    <row r="57" spans="2:12" x14ac:dyDescent="0.25">
      <c r="B57" s="5" t="s">
        <v>48</v>
      </c>
      <c r="D57" s="4"/>
      <c r="E57" s="4"/>
      <c r="F57" s="4"/>
      <c r="H57" s="4"/>
      <c r="J57" s="4"/>
      <c r="L57" s="4"/>
    </row>
    <row r="58" spans="2:12" x14ac:dyDescent="0.25">
      <c r="B58" s="5" t="s">
        <v>49</v>
      </c>
      <c r="D58" s="4"/>
      <c r="E58" s="4"/>
      <c r="F58" s="4"/>
      <c r="H58" s="4"/>
      <c r="J58" s="4"/>
      <c r="L58" s="4"/>
    </row>
    <row r="59" spans="2:12" x14ac:dyDescent="0.25">
      <c r="B59" s="5" t="s">
        <v>26</v>
      </c>
      <c r="D59" s="4"/>
      <c r="E59" s="4"/>
      <c r="F59" s="4"/>
      <c r="H59" s="4"/>
      <c r="J59" s="4"/>
      <c r="L59" s="4"/>
    </row>
    <row r="60" spans="2:12" x14ac:dyDescent="0.25">
      <c r="B60" s="5" t="s">
        <v>50</v>
      </c>
      <c r="D60" s="4"/>
      <c r="E60" s="4"/>
      <c r="F60" s="4"/>
      <c r="H60" s="4"/>
      <c r="J60" s="4"/>
      <c r="L60" s="4"/>
    </row>
    <row r="61" spans="2:12" x14ac:dyDescent="0.25">
      <c r="B61" s="5" t="s">
        <v>51</v>
      </c>
      <c r="D61" s="4"/>
      <c r="E61" s="4"/>
      <c r="F61" s="4"/>
      <c r="H61" s="4"/>
      <c r="J61" s="4"/>
      <c r="L61" s="4"/>
    </row>
    <row r="62" spans="2:12" x14ac:dyDescent="0.25">
      <c r="B62" s="5" t="s">
        <v>52</v>
      </c>
      <c r="D62" s="4"/>
      <c r="E62" s="4"/>
      <c r="F62" s="4"/>
      <c r="H62" s="4"/>
      <c r="J62" s="4"/>
      <c r="L62" s="4"/>
    </row>
    <row r="63" spans="2:12" x14ac:dyDescent="0.25">
      <c r="B63" s="5" t="s">
        <v>53</v>
      </c>
      <c r="D63" s="4"/>
      <c r="E63" s="4"/>
      <c r="F63" s="4"/>
      <c r="H63" s="4"/>
      <c r="J63" s="4"/>
      <c r="L63" s="4"/>
    </row>
    <row r="64" spans="2:12" x14ac:dyDescent="0.25">
      <c r="B64" s="5" t="s">
        <v>54</v>
      </c>
      <c r="D64" s="4">
        <v>115481</v>
      </c>
      <c r="E64" s="4"/>
      <c r="F64" s="4">
        <v>100326</v>
      </c>
      <c r="H64" s="4">
        <v>108443</v>
      </c>
      <c r="J64" s="4"/>
      <c r="L64" s="4"/>
    </row>
    <row r="65" spans="2:12" x14ac:dyDescent="0.25">
      <c r="B65" s="5" t="s">
        <v>55</v>
      </c>
      <c r="D65" s="4"/>
      <c r="E65" s="4"/>
      <c r="F65" s="4"/>
      <c r="H65" s="4"/>
      <c r="J65" s="4"/>
      <c r="L65" s="4"/>
    </row>
    <row r="66" spans="2:12" x14ac:dyDescent="0.25">
      <c r="B66" s="5" t="s">
        <v>56</v>
      </c>
      <c r="D66" s="4"/>
      <c r="E66" s="4"/>
      <c r="F66" s="4"/>
      <c r="H66" s="4"/>
      <c r="J66" s="4"/>
      <c r="L66" s="4"/>
    </row>
    <row r="67" spans="2:12" x14ac:dyDescent="0.25">
      <c r="B67" s="5" t="s">
        <v>57</v>
      </c>
      <c r="D67" s="17">
        <v>0</v>
      </c>
      <c r="E67" s="17"/>
      <c r="F67" s="17">
        <v>1500000</v>
      </c>
      <c r="H67" s="17">
        <v>0</v>
      </c>
      <c r="J67" s="17"/>
      <c r="L67" s="17"/>
    </row>
    <row r="68" spans="2:12" x14ac:dyDescent="0.25">
      <c r="B68" s="5" t="s">
        <v>58</v>
      </c>
      <c r="D68" s="4">
        <v>792811</v>
      </c>
      <c r="E68" s="4"/>
      <c r="F68" s="4">
        <v>910184</v>
      </c>
      <c r="H68" s="4">
        <v>907529</v>
      </c>
      <c r="J68" s="4"/>
      <c r="L68" s="4"/>
    </row>
    <row r="69" spans="2:12" x14ac:dyDescent="0.25">
      <c r="B69" s="5" t="s">
        <v>59</v>
      </c>
      <c r="D69" s="4"/>
      <c r="E69" s="4"/>
      <c r="F69" s="4"/>
      <c r="H69" s="4"/>
      <c r="J69" s="4"/>
      <c r="L69" s="4"/>
    </row>
    <row r="70" spans="2:12" x14ac:dyDescent="0.25">
      <c r="B70" s="5" t="s">
        <v>60</v>
      </c>
      <c r="D70" s="4"/>
      <c r="E70" s="4"/>
      <c r="F70" s="4"/>
      <c r="H70" s="4"/>
      <c r="J70" s="4"/>
      <c r="L70" s="4"/>
    </row>
    <row r="71" spans="2:12" x14ac:dyDescent="0.25">
      <c r="B71" s="5" t="s">
        <v>61</v>
      </c>
      <c r="D71" s="4">
        <v>22013</v>
      </c>
      <c r="E71" s="4"/>
      <c r="F71" s="4">
        <v>13654</v>
      </c>
      <c r="H71" s="4">
        <v>12597</v>
      </c>
      <c r="J71" s="4"/>
      <c r="L71" s="4"/>
    </row>
    <row r="72" spans="2:12" x14ac:dyDescent="0.25">
      <c r="B72" s="5" t="s">
        <v>62</v>
      </c>
      <c r="D72" s="18">
        <v>34481</v>
      </c>
      <c r="E72" s="18"/>
      <c r="F72" s="18">
        <v>24378</v>
      </c>
      <c r="H72" s="18">
        <v>32800</v>
      </c>
      <c r="J72" s="18"/>
      <c r="L72" s="18"/>
    </row>
    <row r="73" spans="2:12" x14ac:dyDescent="0.25">
      <c r="B73" s="5"/>
      <c r="D73" s="4">
        <v>146840</v>
      </c>
      <c r="E73" s="4"/>
      <c r="F73" s="4">
        <v>318077</v>
      </c>
      <c r="H73" s="4">
        <v>318506</v>
      </c>
      <c r="J73" s="4"/>
      <c r="L73" s="4"/>
    </row>
    <row r="74" spans="2:12" x14ac:dyDescent="0.25">
      <c r="B74" s="5" t="s">
        <v>63</v>
      </c>
      <c r="D74" s="10"/>
      <c r="E74" s="10"/>
      <c r="F74" s="10"/>
      <c r="H74" s="10"/>
      <c r="J74" s="10"/>
      <c r="L74" s="10"/>
    </row>
    <row r="75" spans="2:12" x14ac:dyDescent="0.25">
      <c r="B75" s="5" t="s">
        <v>64</v>
      </c>
      <c r="D75" s="15">
        <f>D76+D79+D86+D89</f>
        <v>7301783</v>
      </c>
      <c r="E75" s="15"/>
      <c r="F75" s="15">
        <f>F76+F79+F86+F89</f>
        <v>7591835</v>
      </c>
      <c r="G75" s="15">
        <f t="shared" ref="G75:L75" si="4">G76+G79+G86+G89</f>
        <v>1725467</v>
      </c>
      <c r="H75" s="15">
        <f>H76+H79+H86+H89</f>
        <v>10735401</v>
      </c>
      <c r="I75" s="15">
        <f t="shared" si="4"/>
        <v>1725467</v>
      </c>
      <c r="J75" s="15">
        <f>J76+J79+J86+J89</f>
        <v>0</v>
      </c>
      <c r="K75" s="15">
        <f t="shared" si="4"/>
        <v>1725467</v>
      </c>
      <c r="L75" s="15">
        <f t="shared" si="4"/>
        <v>0</v>
      </c>
    </row>
    <row r="76" spans="2:12" x14ac:dyDescent="0.25">
      <c r="B76" s="5" t="s">
        <v>65</v>
      </c>
      <c r="D76" s="15">
        <f>SUM(D77:D78)</f>
        <v>242104</v>
      </c>
      <c r="E76" s="15"/>
      <c r="F76" s="15">
        <f>SUM(F77:F78)</f>
        <v>197455</v>
      </c>
      <c r="G76" s="15">
        <f t="shared" ref="G76:L76" si="5">SUM(G77:G78)</f>
        <v>0</v>
      </c>
      <c r="H76" s="15">
        <f>SUM(H77:H78)</f>
        <v>256204</v>
      </c>
      <c r="I76" s="15">
        <f t="shared" si="5"/>
        <v>0</v>
      </c>
      <c r="J76" s="15">
        <f>SUM(J77:J78)</f>
        <v>0</v>
      </c>
      <c r="K76" s="15">
        <f t="shared" si="5"/>
        <v>0</v>
      </c>
      <c r="L76" s="15">
        <f t="shared" si="5"/>
        <v>0</v>
      </c>
    </row>
    <row r="77" spans="2:12" x14ac:dyDescent="0.25">
      <c r="B77" s="5" t="s">
        <v>66</v>
      </c>
      <c r="D77" s="4">
        <v>242104</v>
      </c>
      <c r="E77" s="4"/>
      <c r="F77" s="4">
        <v>197455</v>
      </c>
      <c r="H77" s="4">
        <v>256204</v>
      </c>
      <c r="J77" s="4"/>
      <c r="L77" s="4"/>
    </row>
    <row r="78" spans="2:12" x14ac:dyDescent="0.25">
      <c r="B78" s="5" t="s">
        <v>67</v>
      </c>
      <c r="D78" s="4"/>
      <c r="E78" s="4"/>
      <c r="F78" s="4"/>
      <c r="H78" s="4"/>
      <c r="J78" s="4"/>
      <c r="L78" s="4"/>
    </row>
    <row r="79" spans="2:12" x14ac:dyDescent="0.25">
      <c r="B79" s="5" t="s">
        <v>68</v>
      </c>
      <c r="D79" s="15">
        <f>SUM(D80:D85)</f>
        <v>5200185</v>
      </c>
      <c r="E79" s="15"/>
      <c r="F79" s="15">
        <f>SUM(F80:F85)</f>
        <v>5668913</v>
      </c>
      <c r="G79" s="15">
        <f t="shared" ref="G79:L79" si="6">SUM(G80:G85)</f>
        <v>0</v>
      </c>
      <c r="H79" s="15">
        <f>SUM(H80:H85)</f>
        <v>8753730</v>
      </c>
      <c r="I79" s="15">
        <f t="shared" si="6"/>
        <v>0</v>
      </c>
      <c r="J79" s="15">
        <f>SUM(J80:J85)</f>
        <v>0</v>
      </c>
      <c r="K79" s="15">
        <f t="shared" si="6"/>
        <v>0</v>
      </c>
      <c r="L79" s="15">
        <f t="shared" si="6"/>
        <v>0</v>
      </c>
    </row>
    <row r="80" spans="2:12" x14ac:dyDescent="0.25">
      <c r="B80" s="5" t="s">
        <v>69</v>
      </c>
      <c r="D80" s="4">
        <f>5234666-D72</f>
        <v>5200185</v>
      </c>
      <c r="E80" s="4"/>
      <c r="F80" s="4">
        <f>5693291-F72</f>
        <v>5668913</v>
      </c>
      <c r="H80" s="4">
        <f>8786530-H72</f>
        <v>8753730</v>
      </c>
      <c r="J80" s="4"/>
      <c r="L80" s="4"/>
    </row>
    <row r="81" spans="2:12" x14ac:dyDescent="0.25">
      <c r="B81" s="5" t="s">
        <v>70</v>
      </c>
      <c r="D81" s="4"/>
      <c r="E81" s="4"/>
      <c r="F81" s="4"/>
      <c r="H81" s="4"/>
      <c r="J81" s="4"/>
      <c r="L81" s="4"/>
    </row>
    <row r="82" spans="2:12" x14ac:dyDescent="0.25">
      <c r="B82" s="5" t="s">
        <v>66</v>
      </c>
      <c r="D82" s="4"/>
      <c r="E82" s="4"/>
      <c r="F82" s="4"/>
      <c r="H82" s="4"/>
      <c r="J82" s="4"/>
      <c r="L82" s="4"/>
    </row>
    <row r="83" spans="2:12" x14ac:dyDescent="0.25">
      <c r="B83" s="5" t="s">
        <v>71</v>
      </c>
      <c r="D83" s="4"/>
      <c r="E83" s="4"/>
      <c r="F83" s="4"/>
      <c r="H83" s="4"/>
      <c r="J83" s="4"/>
      <c r="L83" s="4"/>
    </row>
    <row r="84" spans="2:12" x14ac:dyDescent="0.25">
      <c r="B84" s="5" t="s">
        <v>72</v>
      </c>
      <c r="D84" s="4"/>
      <c r="E84" s="4"/>
      <c r="F84" s="4"/>
      <c r="H84" s="4"/>
      <c r="J84" s="4"/>
      <c r="L84" s="4"/>
    </row>
    <row r="85" spans="2:12" x14ac:dyDescent="0.25">
      <c r="B85" s="5" t="s">
        <v>73</v>
      </c>
      <c r="D85" s="4"/>
      <c r="E85" s="4"/>
      <c r="F85" s="4"/>
      <c r="H85" s="4"/>
      <c r="J85" s="4"/>
      <c r="L85" s="4"/>
    </row>
    <row r="86" spans="2:12" x14ac:dyDescent="0.25">
      <c r="B86" s="5" t="s">
        <v>74</v>
      </c>
      <c r="D86" s="15">
        <f>D87+D88</f>
        <v>1859494</v>
      </c>
      <c r="E86" s="15"/>
      <c r="F86" s="15">
        <f>F87+F88</f>
        <v>1725467</v>
      </c>
      <c r="G86" s="15">
        <f t="shared" ref="G86:L86" si="7">G87+G88</f>
        <v>1725467</v>
      </c>
      <c r="H86" s="15">
        <f>H87+H88</f>
        <v>1725467</v>
      </c>
      <c r="I86" s="15">
        <f t="shared" si="7"/>
        <v>1725467</v>
      </c>
      <c r="J86" s="15">
        <f>J87+J88</f>
        <v>0</v>
      </c>
      <c r="K86" s="15">
        <f t="shared" si="7"/>
        <v>1725467</v>
      </c>
      <c r="L86" s="15">
        <f t="shared" si="7"/>
        <v>0</v>
      </c>
    </row>
    <row r="87" spans="2:12" x14ac:dyDescent="0.25">
      <c r="B87" s="5" t="s">
        <v>75</v>
      </c>
      <c r="D87" s="4">
        <v>1859494</v>
      </c>
      <c r="E87" s="4"/>
      <c r="F87" s="4">
        <v>1725467</v>
      </c>
      <c r="G87" s="4">
        <v>1725467</v>
      </c>
      <c r="H87" s="4">
        <v>1725467</v>
      </c>
      <c r="I87" s="4">
        <v>1725467</v>
      </c>
      <c r="J87" s="4"/>
      <c r="K87" s="4">
        <v>1725467</v>
      </c>
      <c r="L87" s="4"/>
    </row>
    <row r="88" spans="2:12" x14ac:dyDescent="0.25">
      <c r="B88" s="5" t="s">
        <v>76</v>
      </c>
      <c r="D88" s="19">
        <f>D144</f>
        <v>0</v>
      </c>
      <c r="E88" s="19"/>
      <c r="F88" s="19">
        <f>F144</f>
        <v>0</v>
      </c>
      <c r="G88" s="19">
        <f t="shared" ref="G88:L88" si="8">G144</f>
        <v>0</v>
      </c>
      <c r="H88" s="19">
        <f>H144</f>
        <v>0</v>
      </c>
      <c r="I88" s="19">
        <f t="shared" si="8"/>
        <v>0</v>
      </c>
      <c r="J88" s="19">
        <f>J144</f>
        <v>0</v>
      </c>
      <c r="K88" s="19">
        <f t="shared" si="8"/>
        <v>0</v>
      </c>
      <c r="L88" s="19">
        <f t="shared" si="8"/>
        <v>0</v>
      </c>
    </row>
    <row r="89" spans="2:12" x14ac:dyDescent="0.25">
      <c r="B89" s="5" t="s">
        <v>77</v>
      </c>
      <c r="D89" s="15">
        <f>D90+D91</f>
        <v>0</v>
      </c>
      <c r="E89" s="15"/>
      <c r="F89" s="15">
        <f>F90+F91</f>
        <v>0</v>
      </c>
      <c r="G89" s="15">
        <f t="shared" ref="G89:L89" si="9">G90+G91</f>
        <v>0</v>
      </c>
      <c r="H89" s="15">
        <f>H90+H91</f>
        <v>0</v>
      </c>
      <c r="I89" s="15">
        <f t="shared" si="9"/>
        <v>0</v>
      </c>
      <c r="J89" s="15">
        <f>J90+J91</f>
        <v>0</v>
      </c>
      <c r="K89" s="15">
        <f t="shared" si="9"/>
        <v>0</v>
      </c>
      <c r="L89" s="15">
        <f t="shared" si="9"/>
        <v>0</v>
      </c>
    </row>
    <row r="90" spans="2:12" x14ac:dyDescent="0.25">
      <c r="B90" s="5" t="s">
        <v>78</v>
      </c>
      <c r="D90" s="4"/>
      <c r="E90" s="4"/>
      <c r="F90" s="4"/>
      <c r="H90" s="4"/>
      <c r="J90" s="4"/>
      <c r="L90" s="4"/>
    </row>
    <row r="91" spans="2:12" x14ac:dyDescent="0.25">
      <c r="B91" s="5"/>
      <c r="D91" s="4"/>
      <c r="E91" s="4"/>
      <c r="F91" s="4"/>
      <c r="H91" s="4"/>
      <c r="J91" s="4"/>
      <c r="L91" s="4"/>
    </row>
    <row r="92" spans="2:12" ht="15.75" customHeight="1" thickBot="1" x14ac:dyDescent="0.3">
      <c r="B92" s="5" t="s">
        <v>79</v>
      </c>
      <c r="D92" s="10"/>
      <c r="E92" s="10"/>
      <c r="F92" s="10"/>
      <c r="H92" s="10"/>
      <c r="J92" s="10"/>
      <c r="L92" s="10"/>
    </row>
    <row r="93" spans="2:12" ht="15.75" customHeight="1" thickBot="1" x14ac:dyDescent="0.3">
      <c r="B93" s="5"/>
      <c r="D93" s="20">
        <f>D27+D56+D75</f>
        <v>21400128</v>
      </c>
      <c r="E93" s="20"/>
      <c r="F93" s="20">
        <f>F27+F56+F75</f>
        <v>28594154</v>
      </c>
      <c r="G93" s="20">
        <f t="shared" ref="G93:L93" si="10">G27+G56+G75</f>
        <v>1725467</v>
      </c>
      <c r="H93" s="20">
        <f>H27+H56+H75</f>
        <v>36572045</v>
      </c>
      <c r="I93" s="20">
        <f t="shared" si="10"/>
        <v>1725467</v>
      </c>
      <c r="J93" s="20">
        <f>J27+J56+J75</f>
        <v>0</v>
      </c>
      <c r="K93" s="20">
        <f t="shared" si="10"/>
        <v>1725467</v>
      </c>
      <c r="L93" s="20">
        <f t="shared" si="10"/>
        <v>0</v>
      </c>
    </row>
    <row r="94" spans="2:12" x14ac:dyDescent="0.25">
      <c r="B94" s="5" t="s">
        <v>80</v>
      </c>
      <c r="D94" s="10"/>
      <c r="E94" s="10"/>
      <c r="F94" s="10"/>
      <c r="H94" s="10"/>
      <c r="J94" s="10"/>
      <c r="L94" s="10"/>
    </row>
    <row r="95" spans="2:12" x14ac:dyDescent="0.25">
      <c r="B95" s="5" t="s">
        <v>81</v>
      </c>
      <c r="D95" s="15">
        <f>SUM(D96:D115)</f>
        <v>8129741</v>
      </c>
      <c r="E95" s="15"/>
      <c r="F95" s="15">
        <f>SUM(F96:F115)</f>
        <v>9746503</v>
      </c>
      <c r="G95" s="15">
        <f t="shared" ref="G95:L95" si="11">SUM(G96:G115)</f>
        <v>0</v>
      </c>
      <c r="H95" s="15">
        <f>SUM(H96:H115)</f>
        <v>16311782</v>
      </c>
      <c r="I95" s="15">
        <f t="shared" si="11"/>
        <v>0</v>
      </c>
      <c r="J95" s="15">
        <f>SUM(J96:J115)</f>
        <v>0</v>
      </c>
      <c r="K95" s="15">
        <f t="shared" si="11"/>
        <v>0</v>
      </c>
      <c r="L95" s="15">
        <f t="shared" si="11"/>
        <v>0</v>
      </c>
    </row>
    <row r="96" spans="2:12" x14ac:dyDescent="0.25">
      <c r="B96" s="5" t="s">
        <v>82</v>
      </c>
      <c r="D96" s="4">
        <v>2077939</v>
      </c>
      <c r="E96" s="4"/>
      <c r="F96" s="4">
        <v>3794555</v>
      </c>
      <c r="H96" s="4">
        <v>5109420</v>
      </c>
      <c r="J96" s="4"/>
      <c r="L96" s="4"/>
    </row>
    <row r="97" spans="2:13" x14ac:dyDescent="0.25">
      <c r="B97" s="5" t="s">
        <v>83</v>
      </c>
      <c r="D97" s="21">
        <v>1735710</v>
      </c>
      <c r="E97" s="21"/>
      <c r="F97" s="21">
        <v>1384582</v>
      </c>
      <c r="H97" s="21">
        <v>1384582</v>
      </c>
      <c r="J97" s="21"/>
      <c r="L97" s="21"/>
    </row>
    <row r="98" spans="2:13" x14ac:dyDescent="0.25">
      <c r="B98" s="5" t="s">
        <v>84</v>
      </c>
      <c r="D98" s="58">
        <v>365525</v>
      </c>
      <c r="E98" s="58"/>
      <c r="F98" s="58">
        <v>108166</v>
      </c>
      <c r="G98" s="59"/>
      <c r="H98" s="58">
        <v>108166</v>
      </c>
      <c r="I98" s="59"/>
      <c r="J98" s="58"/>
      <c r="K98" s="59"/>
      <c r="L98" s="58"/>
    </row>
    <row r="99" spans="2:13" x14ac:dyDescent="0.25">
      <c r="B99" s="5" t="s">
        <v>85</v>
      </c>
      <c r="D99" s="4"/>
      <c r="E99" s="4"/>
      <c r="F99" s="4"/>
      <c r="H99" s="4"/>
      <c r="J99" s="4"/>
      <c r="L99" s="4"/>
    </row>
    <row r="100" spans="2:13" x14ac:dyDescent="0.25">
      <c r="B100" s="5" t="s">
        <v>86</v>
      </c>
      <c r="D100" s="4">
        <f>3519543-D97</f>
        <v>1783833</v>
      </c>
      <c r="E100" s="4"/>
      <c r="F100" s="4">
        <f>3727546-F97</f>
        <v>2342964</v>
      </c>
      <c r="H100" s="4">
        <f>6149047-H97</f>
        <v>4764465</v>
      </c>
      <c r="J100" s="4"/>
      <c r="L100" s="4"/>
    </row>
    <row r="101" spans="2:13" x14ac:dyDescent="0.25">
      <c r="B101" s="5" t="s">
        <v>87</v>
      </c>
      <c r="D101" s="4"/>
      <c r="E101" s="4"/>
      <c r="F101" s="4"/>
      <c r="H101" s="4"/>
      <c r="J101" s="4"/>
      <c r="L101" s="4"/>
    </row>
    <row r="102" spans="2:13" x14ac:dyDescent="0.25">
      <c r="B102" s="5" t="s">
        <v>88</v>
      </c>
      <c r="D102" s="21">
        <v>1660706</v>
      </c>
      <c r="E102" s="21"/>
      <c r="F102" s="21">
        <v>1650671</v>
      </c>
      <c r="G102" s="57"/>
      <c r="H102" s="21">
        <v>1650671</v>
      </c>
      <c r="I102" s="57"/>
      <c r="J102" s="21"/>
      <c r="K102" s="57"/>
      <c r="L102" s="21"/>
    </row>
    <row r="103" spans="2:13" x14ac:dyDescent="0.25">
      <c r="B103" s="5" t="s">
        <v>89</v>
      </c>
      <c r="D103" s="4"/>
      <c r="E103" s="4"/>
      <c r="F103" s="4"/>
      <c r="H103" s="4"/>
      <c r="J103" s="4"/>
      <c r="L103" s="4"/>
    </row>
    <row r="104" spans="2:13" x14ac:dyDescent="0.25">
      <c r="B104" s="5" t="s">
        <v>90</v>
      </c>
      <c r="D104" s="58">
        <v>241398</v>
      </c>
      <c r="E104" s="58"/>
      <c r="F104" s="58">
        <v>271376</v>
      </c>
      <c r="G104" s="59"/>
      <c r="H104" s="58">
        <v>447171</v>
      </c>
      <c r="I104" s="59"/>
      <c r="J104" s="58"/>
      <c r="K104" s="59"/>
      <c r="L104" s="58"/>
    </row>
    <row r="105" spans="2:13" x14ac:dyDescent="0.25">
      <c r="B105" s="5" t="s">
        <v>91</v>
      </c>
      <c r="D105" s="4"/>
      <c r="E105" s="4"/>
      <c r="F105" s="4"/>
      <c r="H105" s="4"/>
      <c r="J105" s="4"/>
      <c r="L105" s="4"/>
    </row>
    <row r="106" spans="2:13" x14ac:dyDescent="0.25">
      <c r="B106" s="5" t="s">
        <v>92</v>
      </c>
      <c r="D106" s="4"/>
      <c r="E106" s="4"/>
      <c r="F106" s="4"/>
      <c r="H106" s="4"/>
      <c r="J106" s="4"/>
      <c r="L106" s="4"/>
    </row>
    <row r="107" spans="2:13" x14ac:dyDescent="0.25">
      <c r="B107" s="5" t="s">
        <v>93</v>
      </c>
      <c r="D107" s="18">
        <v>9677</v>
      </c>
      <c r="E107" s="18"/>
      <c r="F107" s="18">
        <v>10477</v>
      </c>
      <c r="H107" s="18">
        <v>11814</v>
      </c>
      <c r="J107" s="18"/>
      <c r="L107" s="18"/>
    </row>
    <row r="108" spans="2:13" x14ac:dyDescent="0.25">
      <c r="B108" s="5" t="s">
        <v>94</v>
      </c>
      <c r="D108" s="4"/>
      <c r="E108" s="4"/>
      <c r="F108" s="4"/>
      <c r="H108" s="4"/>
      <c r="J108" s="4"/>
      <c r="L108" s="4"/>
    </row>
    <row r="109" spans="2:13" x14ac:dyDescent="0.25">
      <c r="B109" s="5" t="s">
        <v>95</v>
      </c>
      <c r="D109" s="4"/>
      <c r="E109" s="4"/>
      <c r="F109" s="4"/>
      <c r="H109" s="4"/>
      <c r="J109" s="4"/>
      <c r="L109" s="4"/>
    </row>
    <row r="110" spans="2:13" x14ac:dyDescent="0.25">
      <c r="B110" s="5" t="s">
        <v>96</v>
      </c>
      <c r="D110" s="4">
        <f>373011-D104</f>
        <v>131613</v>
      </c>
      <c r="E110" s="4"/>
      <c r="F110" s="4">
        <f>402835-F104</f>
        <v>131459</v>
      </c>
      <c r="H110" s="4"/>
      <c r="J110" s="4"/>
      <c r="L110" s="4"/>
      <c r="M110">
        <v>402835</v>
      </c>
    </row>
    <row r="111" spans="2:13" x14ac:dyDescent="0.25">
      <c r="B111" s="5" t="s">
        <v>97</v>
      </c>
      <c r="D111" s="4"/>
      <c r="E111" s="4"/>
      <c r="F111" s="4"/>
      <c r="H111" s="4"/>
      <c r="J111" s="4"/>
      <c r="L111" s="4"/>
    </row>
    <row r="112" spans="2:13" x14ac:dyDescent="0.25">
      <c r="B112" s="5" t="s">
        <v>98</v>
      </c>
      <c r="D112" s="4"/>
      <c r="E112" s="4"/>
      <c r="F112" s="4"/>
      <c r="H112" s="4"/>
      <c r="J112" s="4"/>
      <c r="L112" s="4"/>
    </row>
    <row r="113" spans="2:12" x14ac:dyDescent="0.25">
      <c r="B113" s="5" t="s">
        <v>99</v>
      </c>
      <c r="D113" s="4"/>
      <c r="E113" s="4"/>
      <c r="F113" s="4"/>
      <c r="H113" s="4"/>
      <c r="J113" s="4"/>
      <c r="L113" s="4"/>
    </row>
    <row r="114" spans="2:12" x14ac:dyDescent="0.25">
      <c r="B114" s="5" t="s">
        <v>100</v>
      </c>
      <c r="D114" s="4"/>
      <c r="E114" s="4"/>
      <c r="F114" s="4"/>
      <c r="H114" s="4"/>
      <c r="J114" s="4"/>
      <c r="L114" s="4"/>
    </row>
    <row r="115" spans="2:12" x14ac:dyDescent="0.25">
      <c r="B115" s="5"/>
      <c r="D115" s="4">
        <f>2149571-D98-D102</f>
        <v>123340</v>
      </c>
      <c r="E115" s="4"/>
      <c r="F115" s="4">
        <f>1811090-F98-F102</f>
        <v>52253</v>
      </c>
      <c r="H115" s="4">
        <f>4594330-H98-H102</f>
        <v>2835493</v>
      </c>
      <c r="J115" s="4"/>
      <c r="L115" s="4"/>
    </row>
    <row r="116" spans="2:12" x14ac:dyDescent="0.25">
      <c r="B116" s="5" t="s">
        <v>101</v>
      </c>
      <c r="D116" s="10"/>
      <c r="E116" s="10"/>
      <c r="F116" s="10"/>
      <c r="H116" s="10"/>
      <c r="J116" s="10"/>
      <c r="L116" s="10"/>
    </row>
    <row r="117" spans="2:12" x14ac:dyDescent="0.25">
      <c r="B117" s="5" t="s">
        <v>102</v>
      </c>
      <c r="D117" s="15">
        <f>SUM(D118:D132)</f>
        <v>12207892</v>
      </c>
      <c r="E117" s="15"/>
      <c r="F117" s="15">
        <f>SUM(F118:F132)</f>
        <v>18188101</v>
      </c>
      <c r="G117" s="15">
        <f t="shared" ref="G117:L117" si="12">SUM(G118:G132)</f>
        <v>0</v>
      </c>
      <c r="H117" s="15">
        <f>SUM(H118:H132)</f>
        <v>25481464</v>
      </c>
      <c r="I117" s="15">
        <f t="shared" si="12"/>
        <v>0</v>
      </c>
      <c r="J117" s="15">
        <f>SUM(J118:J132)</f>
        <v>0</v>
      </c>
      <c r="K117" s="15">
        <f t="shared" si="12"/>
        <v>0</v>
      </c>
      <c r="L117" s="15">
        <f t="shared" si="12"/>
        <v>0</v>
      </c>
    </row>
    <row r="118" spans="2:12" x14ac:dyDescent="0.25">
      <c r="B118" s="5" t="s">
        <v>103</v>
      </c>
      <c r="D118" s="4">
        <v>11688535</v>
      </c>
      <c r="E118" s="4"/>
      <c r="F118" s="4">
        <v>17762327</v>
      </c>
      <c r="H118" s="4">
        <v>24972689</v>
      </c>
      <c r="J118" s="4"/>
      <c r="L118" s="4"/>
    </row>
    <row r="119" spans="2:12" x14ac:dyDescent="0.25">
      <c r="B119" s="5" t="s">
        <v>104</v>
      </c>
      <c r="D119" s="4"/>
      <c r="E119" s="4"/>
      <c r="F119" s="4"/>
      <c r="H119" s="4"/>
      <c r="J119" s="4"/>
      <c r="L119" s="4"/>
    </row>
    <row r="120" spans="2:12" x14ac:dyDescent="0.25">
      <c r="B120" s="5" t="s">
        <v>105</v>
      </c>
      <c r="D120" s="4"/>
      <c r="E120" s="4"/>
      <c r="F120" s="4"/>
      <c r="H120" s="4"/>
      <c r="J120" s="4"/>
      <c r="L120" s="4"/>
    </row>
    <row r="121" spans="2:12" x14ac:dyDescent="0.25">
      <c r="B121" s="5" t="s">
        <v>106</v>
      </c>
      <c r="D121" s="4"/>
      <c r="E121" s="4"/>
      <c r="F121" s="4"/>
      <c r="H121" s="4"/>
      <c r="J121" s="4"/>
      <c r="L121" s="4"/>
    </row>
    <row r="122" spans="2:12" x14ac:dyDescent="0.25">
      <c r="B122" s="5" t="s">
        <v>107</v>
      </c>
      <c r="D122" s="4"/>
      <c r="E122" s="4"/>
      <c r="F122" s="4"/>
      <c r="H122" s="4"/>
      <c r="J122" s="4"/>
      <c r="L122" s="4"/>
    </row>
    <row r="123" spans="2:12" x14ac:dyDescent="0.25">
      <c r="B123" s="5" t="s">
        <v>108</v>
      </c>
      <c r="D123" s="4"/>
      <c r="E123" s="4"/>
      <c r="F123" s="4"/>
      <c r="H123" s="4"/>
      <c r="J123" s="4"/>
      <c r="L123" s="4"/>
    </row>
    <row r="124" spans="2:12" x14ac:dyDescent="0.25">
      <c r="B124" s="5" t="s">
        <v>109</v>
      </c>
      <c r="D124" s="4">
        <v>40147</v>
      </c>
      <c r="E124" s="4"/>
      <c r="F124" s="4">
        <v>35219</v>
      </c>
      <c r="H124" s="4">
        <v>27408</v>
      </c>
      <c r="J124" s="4"/>
      <c r="L124" s="4"/>
    </row>
    <row r="125" spans="2:12" x14ac:dyDescent="0.25">
      <c r="B125" s="5" t="s">
        <v>110</v>
      </c>
      <c r="D125" s="4"/>
      <c r="E125" s="4"/>
      <c r="F125" s="4"/>
      <c r="H125" s="4"/>
      <c r="J125" s="4"/>
      <c r="L125" s="4"/>
    </row>
    <row r="126" spans="2:12" x14ac:dyDescent="0.25">
      <c r="B126" s="5" t="s">
        <v>111</v>
      </c>
      <c r="D126" s="18">
        <v>28688</v>
      </c>
      <c r="E126" s="18"/>
      <c r="F126" s="18">
        <v>17495</v>
      </c>
      <c r="H126" s="18">
        <v>24121</v>
      </c>
      <c r="J126" s="18"/>
      <c r="L126" s="18"/>
    </row>
    <row r="127" spans="2:12" x14ac:dyDescent="0.25">
      <c r="B127" s="5" t="s">
        <v>112</v>
      </c>
      <c r="D127" s="4"/>
      <c r="E127" s="4"/>
      <c r="F127" s="4"/>
      <c r="H127" s="4"/>
      <c r="J127" s="4"/>
      <c r="L127" s="4"/>
    </row>
    <row r="128" spans="2:12" x14ac:dyDescent="0.25">
      <c r="B128" s="5" t="s">
        <v>113</v>
      </c>
      <c r="D128" s="4"/>
      <c r="E128" s="4"/>
      <c r="F128" s="4"/>
      <c r="H128" s="4"/>
      <c r="J128" s="4"/>
      <c r="L128" s="4"/>
    </row>
    <row r="129" spans="2:12" x14ac:dyDescent="0.25">
      <c r="B129" s="5" t="s">
        <v>114</v>
      </c>
      <c r="D129" s="4">
        <v>380241</v>
      </c>
      <c r="E129" s="4"/>
      <c r="F129" s="4">
        <v>234504</v>
      </c>
      <c r="H129" s="4">
        <v>383333</v>
      </c>
      <c r="J129" s="4"/>
      <c r="L129" s="4"/>
    </row>
    <row r="130" spans="2:12" x14ac:dyDescent="0.25">
      <c r="B130" s="5" t="s">
        <v>44</v>
      </c>
      <c r="D130" s="4">
        <v>58886</v>
      </c>
      <c r="E130" s="4"/>
      <c r="F130" s="4">
        <v>36178</v>
      </c>
      <c r="H130" s="4">
        <v>34371</v>
      </c>
      <c r="J130" s="4"/>
      <c r="L130" s="4"/>
    </row>
    <row r="131" spans="2:12" x14ac:dyDescent="0.25">
      <c r="B131" s="5" t="s">
        <v>115</v>
      </c>
      <c r="D131" s="4"/>
      <c r="E131" s="4"/>
      <c r="F131" s="4"/>
      <c r="H131" s="4"/>
      <c r="J131" s="4"/>
      <c r="L131" s="4"/>
    </row>
    <row r="132" spans="2:12" x14ac:dyDescent="0.25">
      <c r="B132" s="5" t="s">
        <v>116</v>
      </c>
      <c r="D132" s="4">
        <v>11395</v>
      </c>
      <c r="E132" s="4"/>
      <c r="F132" s="4">
        <v>102378</v>
      </c>
      <c r="H132" s="4">
        <v>39542</v>
      </c>
      <c r="J132" s="4"/>
      <c r="L132" s="4"/>
    </row>
    <row r="133" spans="2:12" x14ac:dyDescent="0.25">
      <c r="B133" s="5" t="s">
        <v>117</v>
      </c>
      <c r="D133" s="15">
        <f>SUM(D134:D135)</f>
        <v>0</v>
      </c>
      <c r="E133" s="15"/>
      <c r="F133" s="15">
        <f>SUM(F134:F135)</f>
        <v>0</v>
      </c>
      <c r="G133" s="15">
        <f t="shared" ref="G133:L133" si="13">SUM(G134:G135)</f>
        <v>0</v>
      </c>
      <c r="H133" s="15">
        <f>SUM(H134:H135)</f>
        <v>0</v>
      </c>
      <c r="I133" s="15">
        <f t="shared" si="13"/>
        <v>0</v>
      </c>
      <c r="J133" s="15">
        <f>SUM(J134:J135)</f>
        <v>0</v>
      </c>
      <c r="K133" s="15">
        <f t="shared" si="13"/>
        <v>0</v>
      </c>
      <c r="L133" s="15">
        <f t="shared" si="13"/>
        <v>0</v>
      </c>
    </row>
    <row r="134" spans="2:12" x14ac:dyDescent="0.25">
      <c r="B134" s="5" t="s">
        <v>118</v>
      </c>
      <c r="D134" s="4"/>
      <c r="E134" s="4"/>
      <c r="F134" s="4"/>
      <c r="H134" s="4"/>
      <c r="J134" s="4"/>
      <c r="L134" s="4"/>
    </row>
    <row r="135" spans="2:12" x14ac:dyDescent="0.25">
      <c r="B135" s="5" t="s">
        <v>119</v>
      </c>
      <c r="D135" s="4"/>
      <c r="E135" s="4"/>
      <c r="F135" s="4"/>
      <c r="H135" s="4"/>
      <c r="J135" s="4"/>
      <c r="L135" s="4"/>
    </row>
    <row r="136" spans="2:12" x14ac:dyDescent="0.25">
      <c r="B136" s="5" t="s">
        <v>120</v>
      </c>
      <c r="D136" s="15">
        <f>SUM(D137:D144)</f>
        <v>1062495</v>
      </c>
      <c r="E136" s="15"/>
      <c r="F136" s="15">
        <f>SUM(F137:F144)</f>
        <v>659550</v>
      </c>
      <c r="G136" s="15">
        <f t="shared" ref="G136:L136" si="14">SUM(G137:G144)</f>
        <v>0</v>
      </c>
      <c r="H136" s="15">
        <f>SUM(H137:H144)</f>
        <v>87217</v>
      </c>
      <c r="I136" s="15">
        <f t="shared" si="14"/>
        <v>0</v>
      </c>
      <c r="J136" s="15">
        <f>SUM(J137:J144)</f>
        <v>0</v>
      </c>
      <c r="K136" s="15">
        <f t="shared" si="14"/>
        <v>0</v>
      </c>
      <c r="L136" s="15">
        <f t="shared" si="14"/>
        <v>0</v>
      </c>
    </row>
    <row r="137" spans="2:12" x14ac:dyDescent="0.25">
      <c r="B137" s="5" t="s">
        <v>121</v>
      </c>
      <c r="D137" s="4"/>
      <c r="E137" s="4"/>
      <c r="F137" s="4"/>
      <c r="H137" s="4"/>
      <c r="J137" s="4"/>
      <c r="L137" s="4"/>
    </row>
    <row r="138" spans="2:12" x14ac:dyDescent="0.25">
      <c r="B138" s="5" t="s">
        <v>122</v>
      </c>
      <c r="D138" s="54">
        <v>1619074</v>
      </c>
      <c r="E138" s="54"/>
      <c r="F138" s="54">
        <v>1619074</v>
      </c>
      <c r="H138" s="51">
        <v>1619074</v>
      </c>
      <c r="J138" s="54"/>
      <c r="L138" s="51"/>
    </row>
    <row r="139" spans="2:12" x14ac:dyDescent="0.25">
      <c r="B139" s="5" t="s">
        <v>123</v>
      </c>
      <c r="D139" s="4">
        <f>1062495-D138</f>
        <v>-556579</v>
      </c>
      <c r="E139" s="4"/>
      <c r="F139" s="4">
        <f>659550-F138</f>
        <v>-959524</v>
      </c>
      <c r="H139" s="4">
        <f>87217-H138</f>
        <v>-1531857</v>
      </c>
      <c r="J139" s="4"/>
      <c r="L139" s="4"/>
    </row>
    <row r="140" spans="2:12" x14ac:dyDescent="0.25">
      <c r="B140" s="5" t="s">
        <v>124</v>
      </c>
      <c r="D140" s="4"/>
      <c r="E140" s="4"/>
      <c r="F140" s="4"/>
      <c r="H140" s="4"/>
      <c r="J140" s="4"/>
      <c r="L140" s="4"/>
    </row>
    <row r="141" spans="2:12" x14ac:dyDescent="0.25">
      <c r="B141" s="5" t="s">
        <v>125</v>
      </c>
      <c r="D141" s="4"/>
      <c r="E141" s="4"/>
      <c r="F141" s="4"/>
      <c r="H141" s="4"/>
      <c r="J141" s="4"/>
      <c r="L141" s="4"/>
    </row>
    <row r="142" spans="2:12" x14ac:dyDescent="0.25">
      <c r="B142" s="5" t="s">
        <v>126</v>
      </c>
      <c r="D142" s="4"/>
      <c r="E142" s="4"/>
      <c r="F142" s="4"/>
      <c r="H142" s="4"/>
      <c r="J142" s="4"/>
      <c r="L142" s="4"/>
    </row>
    <row r="143" spans="2:12" x14ac:dyDescent="0.25">
      <c r="B143" s="5" t="s">
        <v>127</v>
      </c>
      <c r="D143" s="4"/>
      <c r="E143" s="4"/>
      <c r="F143" s="4"/>
      <c r="H143" s="4"/>
      <c r="J143" s="4"/>
      <c r="L143" s="4"/>
    </row>
    <row r="144" spans="2:12" x14ac:dyDescent="0.25">
      <c r="B144" s="5"/>
      <c r="D144" s="19"/>
      <c r="E144" s="19"/>
      <c r="F144" s="19"/>
      <c r="H144" s="19"/>
      <c r="J144" s="19"/>
      <c r="L144" s="19"/>
    </row>
    <row r="145" spans="2:12" ht="15.75" customHeight="1" thickBot="1" x14ac:dyDescent="0.3">
      <c r="B145" s="5" t="s">
        <v>128</v>
      </c>
      <c r="D145" s="10"/>
      <c r="E145" s="10"/>
      <c r="F145" s="10"/>
      <c r="H145" s="10"/>
      <c r="J145" s="10"/>
      <c r="L145" s="10"/>
    </row>
    <row r="146" spans="2:12" ht="15.75" customHeight="1" thickBot="1" x14ac:dyDescent="0.3">
      <c r="B146" s="5" t="s">
        <v>129</v>
      </c>
      <c r="D146" s="20">
        <f>D95+D117+D133+D136</f>
        <v>21400128</v>
      </c>
      <c r="E146" s="20"/>
      <c r="F146" s="20">
        <f>F95+F117+F133+F136</f>
        <v>28594154</v>
      </c>
      <c r="G146" s="20">
        <f t="shared" ref="G146:L146" si="15">G95+G117+G133+G136</f>
        <v>0</v>
      </c>
      <c r="H146" s="20">
        <f>H95+H117+H133+H136</f>
        <v>41880463</v>
      </c>
      <c r="I146" s="20">
        <f t="shared" si="15"/>
        <v>0</v>
      </c>
      <c r="J146" s="20">
        <f>J95+J117+J133+J136</f>
        <v>0</v>
      </c>
      <c r="K146" s="20">
        <f t="shared" si="15"/>
        <v>0</v>
      </c>
      <c r="L146" s="20">
        <f t="shared" si="15"/>
        <v>0</v>
      </c>
    </row>
    <row r="147" spans="2:12" x14ac:dyDescent="0.25">
      <c r="B147" s="5"/>
      <c r="D147" s="22" t="str">
        <f>IF(D146-D93=0,"OK",D146-D93)</f>
        <v>OK</v>
      </c>
      <c r="E147" s="22"/>
      <c r="F147" s="22" t="str">
        <f>IF(F146-F93=0,"OK",F146-F93)</f>
        <v>OK</v>
      </c>
      <c r="G147" s="22">
        <f t="shared" ref="G147:L147" si="16">IF(G146-G93=0,"OK",G146-G93)</f>
        <v>-1725467</v>
      </c>
      <c r="H147" s="22">
        <f>IF(H146-H93=0,"OK",H146-H93)</f>
        <v>5308418</v>
      </c>
      <c r="I147" s="22">
        <f t="shared" si="16"/>
        <v>-1725467</v>
      </c>
      <c r="J147" s="22" t="str">
        <f>IF(J146-J93=0,"OK",J146-J93)</f>
        <v>OK</v>
      </c>
      <c r="K147" s="22">
        <f t="shared" si="16"/>
        <v>-1725467</v>
      </c>
      <c r="L147" s="22" t="str">
        <f t="shared" si="16"/>
        <v>OK</v>
      </c>
    </row>
    <row r="148" spans="2:12" x14ac:dyDescent="0.25">
      <c r="B148" s="5" t="s">
        <v>130</v>
      </c>
      <c r="D148" s="10"/>
      <c r="E148" s="10"/>
      <c r="F148" s="10"/>
      <c r="H148" s="10"/>
      <c r="J148" s="10"/>
      <c r="L148" s="10"/>
    </row>
    <row r="149" spans="2:12" x14ac:dyDescent="0.25">
      <c r="B149" s="5" t="s">
        <v>131</v>
      </c>
      <c r="D149" s="15">
        <f>SUM(D150:D153)</f>
        <v>30977769</v>
      </c>
      <c r="E149" s="15"/>
      <c r="F149" s="15">
        <f>SUM(F150:F153)</f>
        <v>26891609</v>
      </c>
      <c r="G149" s="15">
        <f t="shared" ref="G149:L149" si="17">SUM(G150:G153)</f>
        <v>0</v>
      </c>
      <c r="H149" s="15">
        <f>SUM(H150:H153)</f>
        <v>34068866</v>
      </c>
      <c r="I149" s="15">
        <f t="shared" si="17"/>
        <v>0</v>
      </c>
      <c r="J149" s="15">
        <f>SUM(J150:J153)</f>
        <v>0</v>
      </c>
      <c r="K149" s="15">
        <f t="shared" si="17"/>
        <v>0</v>
      </c>
      <c r="L149" s="15">
        <f t="shared" si="17"/>
        <v>0</v>
      </c>
    </row>
    <row r="150" spans="2:12" x14ac:dyDescent="0.25">
      <c r="B150" s="5" t="s">
        <v>132</v>
      </c>
      <c r="D150" s="4">
        <v>30977769</v>
      </c>
      <c r="E150" s="4"/>
      <c r="F150" s="4">
        <v>26891609</v>
      </c>
      <c r="H150" s="4">
        <v>34068866</v>
      </c>
      <c r="J150" s="4"/>
      <c r="L150" s="4"/>
    </row>
    <row r="151" spans="2:12" x14ac:dyDescent="0.25">
      <c r="B151" s="5" t="s">
        <v>133</v>
      </c>
      <c r="D151" s="4"/>
      <c r="E151" s="4"/>
      <c r="F151" s="4"/>
      <c r="H151" s="4"/>
      <c r="J151" s="4"/>
      <c r="L151" s="4"/>
    </row>
    <row r="152" spans="2:12" x14ac:dyDescent="0.25">
      <c r="B152" s="5" t="s">
        <v>134</v>
      </c>
      <c r="D152" s="4"/>
      <c r="E152" s="4"/>
      <c r="F152" s="4"/>
      <c r="H152" s="4"/>
      <c r="J152" s="4"/>
      <c r="L152" s="4"/>
    </row>
    <row r="153" spans="2:12" x14ac:dyDescent="0.25">
      <c r="B153" s="5" t="s">
        <v>135</v>
      </c>
      <c r="D153" s="4"/>
      <c r="E153" s="4"/>
      <c r="F153" s="4"/>
      <c r="H153" s="4"/>
      <c r="J153" s="4"/>
      <c r="L153" s="4"/>
    </row>
    <row r="154" spans="2:12" x14ac:dyDescent="0.25">
      <c r="B154" s="5" t="s">
        <v>136</v>
      </c>
      <c r="D154" s="15">
        <f>SUM(D155:D161)</f>
        <v>0</v>
      </c>
      <c r="E154" s="15"/>
      <c r="F154" s="15">
        <f>SUM(F155:F161)</f>
        <v>0</v>
      </c>
      <c r="G154" s="15">
        <f t="shared" ref="G154:L154" si="18">SUM(G155:G161)</f>
        <v>0</v>
      </c>
      <c r="H154" s="15">
        <f>SUM(H155:H161)</f>
        <v>0</v>
      </c>
      <c r="I154" s="15">
        <f t="shared" si="18"/>
        <v>0</v>
      </c>
      <c r="J154" s="15">
        <f>SUM(J155:J161)</f>
        <v>0</v>
      </c>
      <c r="K154" s="15">
        <f t="shared" si="18"/>
        <v>0</v>
      </c>
      <c r="L154" s="15">
        <f t="shared" si="18"/>
        <v>0</v>
      </c>
    </row>
    <row r="155" spans="2:12" x14ac:dyDescent="0.25">
      <c r="B155" s="5" t="s">
        <v>137</v>
      </c>
      <c r="D155" s="4"/>
      <c r="E155" s="4"/>
      <c r="F155" s="4"/>
      <c r="H155" s="4"/>
      <c r="J155" s="4"/>
      <c r="L155" s="4"/>
    </row>
    <row r="156" spans="2:12" x14ac:dyDescent="0.25">
      <c r="B156" s="5" t="s">
        <v>138</v>
      </c>
      <c r="D156" s="4"/>
      <c r="E156" s="4"/>
      <c r="F156" s="4"/>
      <c r="H156" s="4"/>
      <c r="J156" s="4"/>
      <c r="L156" s="4"/>
    </row>
    <row r="157" spans="2:12" x14ac:dyDescent="0.25">
      <c r="B157" s="5" t="s">
        <v>139</v>
      </c>
      <c r="D157" s="4"/>
      <c r="E157" s="4"/>
      <c r="F157" s="4"/>
      <c r="H157" s="4"/>
      <c r="J157" s="4"/>
      <c r="L157" s="4"/>
    </row>
    <row r="158" spans="2:12" x14ac:dyDescent="0.25">
      <c r="B158" s="5" t="s">
        <v>140</v>
      </c>
      <c r="D158" s="4"/>
      <c r="E158" s="4"/>
      <c r="F158" s="4"/>
      <c r="H158" s="4"/>
      <c r="J158" s="4"/>
      <c r="L158" s="4"/>
    </row>
    <row r="159" spans="2:12" x14ac:dyDescent="0.25">
      <c r="B159" s="5" t="s">
        <v>141</v>
      </c>
      <c r="D159" s="4"/>
      <c r="E159" s="4"/>
      <c r="F159" s="4"/>
      <c r="H159" s="4"/>
      <c r="J159" s="4"/>
      <c r="L159" s="4"/>
    </row>
    <row r="160" spans="2:12" x14ac:dyDescent="0.25">
      <c r="B160" s="5" t="s">
        <v>142</v>
      </c>
      <c r="D160" s="4"/>
      <c r="E160" s="4"/>
      <c r="F160" s="4"/>
      <c r="H160" s="4"/>
      <c r="J160" s="4"/>
      <c r="L160" s="4"/>
    </row>
    <row r="161" spans="2:12" x14ac:dyDescent="0.25">
      <c r="B161" s="5" t="s">
        <v>143</v>
      </c>
      <c r="D161" s="4"/>
      <c r="E161" s="4"/>
      <c r="F161" s="4"/>
      <c r="H161" s="4"/>
      <c r="J161" s="4"/>
      <c r="L161" s="4"/>
    </row>
    <row r="162" spans="2:12" x14ac:dyDescent="0.25">
      <c r="B162" s="5" t="s">
        <v>144</v>
      </c>
      <c r="D162" s="15">
        <f>D149+D154</f>
        <v>30977769</v>
      </c>
      <c r="E162" s="15"/>
      <c r="F162" s="15">
        <f>F149+F154</f>
        <v>26891609</v>
      </c>
      <c r="G162" s="15">
        <f t="shared" ref="G162:L162" si="19">G149+G154</f>
        <v>0</v>
      </c>
      <c r="H162" s="15">
        <f>H149+H154</f>
        <v>34068866</v>
      </c>
      <c r="I162" s="15">
        <f t="shared" si="19"/>
        <v>0</v>
      </c>
      <c r="J162" s="15">
        <f>J149+J154</f>
        <v>0</v>
      </c>
      <c r="K162" s="15">
        <f t="shared" si="19"/>
        <v>0</v>
      </c>
      <c r="L162" s="15">
        <f t="shared" si="19"/>
        <v>0</v>
      </c>
    </row>
    <row r="163" spans="2:12" x14ac:dyDescent="0.25">
      <c r="B163" s="5" t="s">
        <v>145</v>
      </c>
      <c r="D163" s="4">
        <v>-25240352</v>
      </c>
      <c r="E163" s="4"/>
      <c r="F163" s="4">
        <v>-21378060</v>
      </c>
      <c r="H163" s="4">
        <v>-27065603</v>
      </c>
      <c r="J163" s="4"/>
      <c r="L163" s="4"/>
    </row>
    <row r="164" spans="2:12" x14ac:dyDescent="0.25">
      <c r="B164" s="5" t="s">
        <v>146</v>
      </c>
      <c r="D164" s="54">
        <f>-D170</f>
        <v>414525</v>
      </c>
      <c r="E164" s="54"/>
      <c r="F164" s="54">
        <f>-F170</f>
        <v>512426</v>
      </c>
      <c r="H164" s="51">
        <f>-H170</f>
        <v>668681</v>
      </c>
      <c r="J164" s="54"/>
      <c r="L164" s="51"/>
    </row>
    <row r="165" spans="2:12" x14ac:dyDescent="0.25">
      <c r="B165" s="5" t="s">
        <v>147</v>
      </c>
      <c r="D165" s="54"/>
      <c r="E165" s="54"/>
      <c r="F165" s="54"/>
      <c r="H165" s="51"/>
      <c r="J165" s="54"/>
      <c r="L165" s="51"/>
    </row>
    <row r="166" spans="2:12" x14ac:dyDescent="0.25">
      <c r="B166" s="5" t="s">
        <v>148</v>
      </c>
      <c r="D166" s="4"/>
      <c r="E166" s="4"/>
      <c r="F166" s="4"/>
      <c r="H166" s="4"/>
      <c r="J166" s="4"/>
      <c r="L166" s="4"/>
    </row>
    <row r="167" spans="2:12" x14ac:dyDescent="0.25">
      <c r="B167" s="5" t="s">
        <v>149</v>
      </c>
      <c r="D167" s="23">
        <f>SUM(D163:D166)</f>
        <v>-24825827</v>
      </c>
      <c r="E167" s="23"/>
      <c r="F167" s="23">
        <f>SUM(F163:F166)</f>
        <v>-20865634</v>
      </c>
      <c r="H167" s="23">
        <f>SUM(H163:H166)</f>
        <v>-26396922</v>
      </c>
      <c r="J167" s="23"/>
      <c r="L167" s="23"/>
    </row>
    <row r="168" spans="2:12" x14ac:dyDescent="0.25">
      <c r="B168" s="5" t="s">
        <v>150</v>
      </c>
      <c r="D168" s="24">
        <f>D199</f>
        <v>-414525</v>
      </c>
      <c r="E168" s="24"/>
      <c r="F168" s="24">
        <f>F199</f>
        <v>-512426</v>
      </c>
      <c r="H168" s="24">
        <f>H199</f>
        <v>-668681</v>
      </c>
      <c r="J168" s="24"/>
      <c r="L168" s="24"/>
    </row>
    <row r="169" spans="2:12" x14ac:dyDescent="0.25">
      <c r="B169" s="5" t="s">
        <v>151</v>
      </c>
      <c r="D169" s="25">
        <f>D200</f>
        <v>0</v>
      </c>
      <c r="E169" s="25"/>
      <c r="F169" s="25">
        <f>F200</f>
        <v>0</v>
      </c>
      <c r="H169" s="25">
        <f>H20</f>
        <v>0</v>
      </c>
      <c r="J169" s="25"/>
      <c r="L169" s="25"/>
    </row>
    <row r="170" spans="2:12" x14ac:dyDescent="0.25">
      <c r="B170" s="5" t="s">
        <v>152</v>
      </c>
      <c r="D170" s="26">
        <f>SUM(D168:D169)</f>
        <v>-414525</v>
      </c>
      <c r="E170" s="26"/>
      <c r="F170" s="26">
        <f>SUM(F168:F169)</f>
        <v>-512426</v>
      </c>
      <c r="H170" s="26">
        <f>SUM(H168:H169)</f>
        <v>-668681</v>
      </c>
      <c r="J170" s="26"/>
      <c r="L170" s="26"/>
    </row>
    <row r="171" spans="2:12" x14ac:dyDescent="0.25">
      <c r="B171" s="5" t="s">
        <v>153</v>
      </c>
      <c r="D171" s="15">
        <f>D167+D170</f>
        <v>-25240352</v>
      </c>
      <c r="E171" s="15"/>
      <c r="F171" s="15">
        <f>F167+F170</f>
        <v>-21378060</v>
      </c>
      <c r="H171" s="15">
        <f>H167+H170</f>
        <v>-27065603</v>
      </c>
      <c r="J171" s="15"/>
      <c r="L171" s="15"/>
    </row>
    <row r="172" spans="2:12" x14ac:dyDescent="0.25">
      <c r="B172" s="5" t="s">
        <v>154</v>
      </c>
      <c r="D172" s="15">
        <f>D162+D171</f>
        <v>5737417</v>
      </c>
      <c r="E172" s="15"/>
      <c r="F172" s="15">
        <f>F162+F171</f>
        <v>5513549</v>
      </c>
      <c r="H172" s="15">
        <f>H162+H171</f>
        <v>7003263</v>
      </c>
      <c r="J172" s="15"/>
      <c r="L172" s="15"/>
    </row>
    <row r="173" spans="2:12" x14ac:dyDescent="0.25">
      <c r="B173" s="5" t="s">
        <v>155</v>
      </c>
      <c r="D173" s="4">
        <v>-1026128</v>
      </c>
      <c r="E173" s="4"/>
      <c r="F173" s="4">
        <v>-1326647</v>
      </c>
      <c r="H173" s="4">
        <v>-1855394</v>
      </c>
      <c r="J173" s="4"/>
      <c r="L173" s="4"/>
    </row>
    <row r="174" spans="2:12" x14ac:dyDescent="0.25">
      <c r="B174" s="5" t="s">
        <v>156</v>
      </c>
      <c r="D174" s="4"/>
      <c r="E174" s="4"/>
      <c r="F174" s="4"/>
      <c r="H174" s="4"/>
      <c r="J174" s="4"/>
      <c r="L174" s="4"/>
    </row>
    <row r="175" spans="2:12" x14ac:dyDescent="0.25">
      <c r="B175" s="5" t="s">
        <v>157</v>
      </c>
      <c r="D175" s="4">
        <v>-2333667</v>
      </c>
      <c r="E175" s="4"/>
      <c r="F175" s="4">
        <v>-2157115</v>
      </c>
      <c r="H175" s="4">
        <f>-2781779-33629</f>
        <v>-2815408</v>
      </c>
      <c r="J175" s="4"/>
      <c r="L175" s="4"/>
    </row>
    <row r="176" spans="2:12" x14ac:dyDescent="0.25">
      <c r="B176" s="5" t="s">
        <v>158</v>
      </c>
      <c r="D176" s="4">
        <v>45613</v>
      </c>
      <c r="E176" s="4"/>
      <c r="F176" s="4">
        <v>20411</v>
      </c>
      <c r="H176" s="4">
        <v>95414</v>
      </c>
      <c r="J176" s="4"/>
      <c r="L176" s="4"/>
    </row>
    <row r="177" spans="2:12" x14ac:dyDescent="0.25">
      <c r="B177" s="5" t="s">
        <v>159</v>
      </c>
      <c r="D177" s="4"/>
      <c r="E177" s="4"/>
      <c r="F177" s="4"/>
      <c r="H177" s="4"/>
      <c r="J177" s="4"/>
      <c r="L177" s="4"/>
    </row>
    <row r="178" spans="2:12" x14ac:dyDescent="0.25">
      <c r="B178" s="5" t="s">
        <v>160</v>
      </c>
      <c r="D178" s="15">
        <f>SUM(D172:D177)</f>
        <v>2423235</v>
      </c>
      <c r="E178" s="15"/>
      <c r="F178" s="15">
        <f>SUM(F172:F177)</f>
        <v>2050198</v>
      </c>
      <c r="G178" s="15">
        <f t="shared" ref="G178:L178" si="20">SUM(G172:G177)</f>
        <v>0</v>
      </c>
      <c r="H178" s="15">
        <f>SUM(H172:H177)</f>
        <v>2427875</v>
      </c>
      <c r="I178" s="15">
        <f t="shared" si="20"/>
        <v>0</v>
      </c>
      <c r="J178" s="15">
        <f>SUM(J172:J177)</f>
        <v>0</v>
      </c>
      <c r="K178" s="15">
        <f t="shared" si="20"/>
        <v>0</v>
      </c>
      <c r="L178" s="15">
        <f t="shared" si="20"/>
        <v>0</v>
      </c>
    </row>
    <row r="179" spans="2:12" x14ac:dyDescent="0.25">
      <c r="B179" s="5" t="s">
        <v>161</v>
      </c>
      <c r="D179" s="4">
        <f>-2035126-D181</f>
        <v>-1881770</v>
      </c>
      <c r="E179" s="4"/>
      <c r="F179" s="4">
        <f>-1709045-F181</f>
        <v>-1576610</v>
      </c>
      <c r="H179" s="4">
        <f>-3932846-H181</f>
        <v>-3800411</v>
      </c>
      <c r="J179" s="4"/>
      <c r="L179" s="4"/>
    </row>
    <row r="180" spans="2:12" x14ac:dyDescent="0.25">
      <c r="B180" s="5" t="s">
        <v>162</v>
      </c>
      <c r="D180" s="4"/>
      <c r="E180" s="4"/>
      <c r="F180" s="4"/>
      <c r="H180" s="4"/>
      <c r="J180" s="4"/>
      <c r="L180" s="4"/>
    </row>
    <row r="181" spans="2:12" x14ac:dyDescent="0.25">
      <c r="B181" s="5" t="s">
        <v>163</v>
      </c>
      <c r="D181" s="25">
        <f>D231</f>
        <v>-153356</v>
      </c>
      <c r="E181" s="25"/>
      <c r="F181" s="25">
        <f>F231</f>
        <v>-132435</v>
      </c>
      <c r="G181" s="25">
        <f t="shared" ref="G181:L181" si="21">G231</f>
        <v>0</v>
      </c>
      <c r="H181" s="25">
        <f>H231</f>
        <v>-132435</v>
      </c>
      <c r="I181" s="25">
        <f t="shared" si="21"/>
        <v>0</v>
      </c>
      <c r="J181" s="25">
        <f>J231</f>
        <v>0</v>
      </c>
      <c r="K181" s="25">
        <f t="shared" si="21"/>
        <v>0</v>
      </c>
      <c r="L181" s="25">
        <f t="shared" si="21"/>
        <v>0</v>
      </c>
    </row>
    <row r="182" spans="2:12" x14ac:dyDescent="0.25">
      <c r="B182" s="5" t="s">
        <v>164</v>
      </c>
      <c r="D182" s="25">
        <f>D219</f>
        <v>0</v>
      </c>
      <c r="E182" s="25"/>
      <c r="F182" s="25">
        <f>F219</f>
        <v>0</v>
      </c>
      <c r="G182" s="25">
        <f t="shared" ref="G182:L182" si="22">G219</f>
        <v>0</v>
      </c>
      <c r="H182" s="25">
        <f>H219</f>
        <v>0</v>
      </c>
      <c r="I182" s="25">
        <f t="shared" si="22"/>
        <v>0</v>
      </c>
      <c r="J182" s="25">
        <f>J219</f>
        <v>0</v>
      </c>
      <c r="K182" s="25">
        <f t="shared" si="22"/>
        <v>0</v>
      </c>
      <c r="L182" s="25">
        <f t="shared" si="22"/>
        <v>0</v>
      </c>
    </row>
    <row r="183" spans="2:12" x14ac:dyDescent="0.25">
      <c r="B183" s="5" t="s">
        <v>165</v>
      </c>
      <c r="D183" s="27">
        <f>D206</f>
        <v>0</v>
      </c>
      <c r="E183" s="27"/>
      <c r="F183" s="27">
        <f>F206</f>
        <v>0</v>
      </c>
      <c r="G183" s="27">
        <f t="shared" ref="G183:L183" si="23">G206</f>
        <v>0</v>
      </c>
      <c r="H183" s="27">
        <f>H206</f>
        <v>0</v>
      </c>
      <c r="I183" s="27">
        <f t="shared" si="23"/>
        <v>0</v>
      </c>
      <c r="J183" s="27">
        <f>J206</f>
        <v>0</v>
      </c>
      <c r="K183" s="27">
        <f t="shared" si="23"/>
        <v>0</v>
      </c>
      <c r="L183" s="27">
        <f t="shared" si="23"/>
        <v>0</v>
      </c>
    </row>
    <row r="184" spans="2:12" x14ac:dyDescent="0.25">
      <c r="B184" s="5" t="s">
        <v>166</v>
      </c>
      <c r="D184" s="15">
        <f>SUM(D178:D183)</f>
        <v>388109</v>
      </c>
      <c r="E184" s="15"/>
      <c r="F184" s="15">
        <f>SUM(F178:F183)</f>
        <v>341153</v>
      </c>
      <c r="G184" s="15">
        <f t="shared" ref="G184:L184" si="24">SUM(G178:G183)</f>
        <v>0</v>
      </c>
      <c r="H184" s="15">
        <f>SUM(H178:H183)</f>
        <v>-1504971</v>
      </c>
      <c r="I184" s="15">
        <f t="shared" si="24"/>
        <v>0</v>
      </c>
      <c r="J184" s="15">
        <f>SUM(J178:J183)</f>
        <v>0</v>
      </c>
      <c r="K184" s="15">
        <f t="shared" si="24"/>
        <v>0</v>
      </c>
      <c r="L184" s="15">
        <f t="shared" si="24"/>
        <v>0</v>
      </c>
    </row>
    <row r="185" spans="2:12" x14ac:dyDescent="0.25">
      <c r="B185" s="5" t="s">
        <v>167</v>
      </c>
      <c r="D185" s="4"/>
      <c r="E185" s="4"/>
      <c r="F185" s="4"/>
      <c r="H185" s="4"/>
      <c r="J185" s="4"/>
      <c r="L185" s="4"/>
    </row>
    <row r="186" spans="2:12" x14ac:dyDescent="0.25">
      <c r="B186" s="5" t="s">
        <v>168</v>
      </c>
      <c r="D186" s="4"/>
      <c r="E186" s="4"/>
      <c r="F186" s="4"/>
      <c r="H186" s="4"/>
      <c r="J186" s="4"/>
      <c r="L186" s="4"/>
    </row>
    <row r="187" spans="2:12" x14ac:dyDescent="0.25">
      <c r="B187" s="5" t="s">
        <v>169</v>
      </c>
      <c r="D187" s="16">
        <f>D245</f>
        <v>0</v>
      </c>
      <c r="E187" s="16"/>
      <c r="F187" s="16">
        <f>F245</f>
        <v>0</v>
      </c>
      <c r="G187" s="16">
        <f t="shared" ref="G187:L187" si="25">G245</f>
        <v>0</v>
      </c>
      <c r="H187" s="16">
        <f>H245</f>
        <v>0</v>
      </c>
      <c r="I187" s="16">
        <f t="shared" si="25"/>
        <v>0</v>
      </c>
      <c r="J187" s="16">
        <f>J245</f>
        <v>0</v>
      </c>
      <c r="K187" s="16">
        <f t="shared" si="25"/>
        <v>0</v>
      </c>
      <c r="L187" s="16">
        <f t="shared" si="25"/>
        <v>0</v>
      </c>
    </row>
    <row r="188" spans="2:12" x14ac:dyDescent="0.25">
      <c r="B188" s="5" t="s">
        <v>170</v>
      </c>
      <c r="D188" s="4"/>
      <c r="E188" s="4"/>
      <c r="F188" s="4"/>
      <c r="H188" s="4"/>
      <c r="J188" s="4"/>
      <c r="L188" s="4"/>
    </row>
    <row r="189" spans="2:12" x14ac:dyDescent="0.25">
      <c r="B189" s="5" t="s">
        <v>171</v>
      </c>
      <c r="D189" s="15">
        <f>SUM(D184:D188)</f>
        <v>388109</v>
      </c>
      <c r="E189" s="15"/>
      <c r="F189" s="15">
        <f>SUM(F184:F188)</f>
        <v>341153</v>
      </c>
      <c r="G189" s="15">
        <f t="shared" ref="G189:L189" si="26">SUM(G184:G188)</f>
        <v>0</v>
      </c>
      <c r="H189" s="15">
        <f>SUM(H184:H188)</f>
        <v>-1504971</v>
      </c>
      <c r="I189" s="15">
        <f t="shared" si="26"/>
        <v>0</v>
      </c>
      <c r="J189" s="15">
        <f>SUM(J184:J188)</f>
        <v>0</v>
      </c>
      <c r="K189" s="15">
        <f t="shared" si="26"/>
        <v>0</v>
      </c>
      <c r="L189" s="15">
        <f t="shared" si="26"/>
        <v>0</v>
      </c>
    </row>
    <row r="190" spans="2:12" x14ac:dyDescent="0.25">
      <c r="B190" s="5" t="s">
        <v>172</v>
      </c>
      <c r="D190" s="4"/>
      <c r="E190" s="4"/>
      <c r="F190" s="4"/>
      <c r="H190" s="4"/>
      <c r="J190" s="4"/>
      <c r="L190" s="4"/>
    </row>
    <row r="191" spans="2:12" x14ac:dyDescent="0.25">
      <c r="B191" s="5" t="s">
        <v>173</v>
      </c>
      <c r="D191" s="4"/>
      <c r="E191" s="4"/>
      <c r="F191" s="4"/>
      <c r="H191" s="4"/>
      <c r="J191" s="4"/>
      <c r="L191" s="4"/>
    </row>
    <row r="192" spans="2:12" x14ac:dyDescent="0.25">
      <c r="B192" s="5" t="s">
        <v>174</v>
      </c>
      <c r="D192" s="15">
        <f>SUM(D189:D191)</f>
        <v>388109</v>
      </c>
      <c r="E192" s="15"/>
      <c r="F192" s="15">
        <f>SUM(F189:F191)</f>
        <v>341153</v>
      </c>
      <c r="G192" s="15">
        <f t="shared" ref="G192:L192" si="27">SUM(G189:G191)</f>
        <v>0</v>
      </c>
      <c r="H192" s="15">
        <f>SUM(H189:H191)</f>
        <v>-1504971</v>
      </c>
      <c r="I192" s="15">
        <f t="shared" si="27"/>
        <v>0</v>
      </c>
      <c r="J192" s="15">
        <f>SUM(J189:J191)</f>
        <v>0</v>
      </c>
      <c r="K192" s="15">
        <f t="shared" si="27"/>
        <v>0</v>
      </c>
      <c r="L192" s="15">
        <f t="shared" si="27"/>
        <v>0</v>
      </c>
    </row>
    <row r="193" spans="2:12" x14ac:dyDescent="0.25">
      <c r="B193" s="5" t="s">
        <v>175</v>
      </c>
      <c r="D193" s="4">
        <f>-64808+331763</f>
        <v>266955</v>
      </c>
      <c r="E193" s="4"/>
      <c r="F193" s="4">
        <f>-26243+80623</f>
        <v>54380</v>
      </c>
      <c r="H193" s="4">
        <v>-58835</v>
      </c>
      <c r="J193" s="4"/>
      <c r="L193" s="4"/>
    </row>
    <row r="194" spans="2:12" x14ac:dyDescent="0.25">
      <c r="B194" s="5" t="s">
        <v>176</v>
      </c>
      <c r="D194" s="4"/>
      <c r="E194" s="4"/>
      <c r="F194" s="4"/>
      <c r="H194" s="4"/>
      <c r="J194" s="4"/>
      <c r="L194" s="4"/>
    </row>
    <row r="195" spans="2:12" x14ac:dyDescent="0.25">
      <c r="B195" s="5" t="s">
        <v>177</v>
      </c>
      <c r="D195" s="15"/>
      <c r="E195" s="15"/>
      <c r="F195" s="15"/>
      <c r="H195" s="15"/>
      <c r="J195" s="15"/>
      <c r="L195" s="15"/>
    </row>
    <row r="196" spans="2:12" x14ac:dyDescent="0.25">
      <c r="B196" s="5"/>
      <c r="D196" s="15">
        <f>SUM(D192:D194)</f>
        <v>655064</v>
      </c>
      <c r="E196" s="15"/>
      <c r="F196" s="15">
        <f>SUM(F192:F194)</f>
        <v>395533</v>
      </c>
      <c r="G196" s="15">
        <f t="shared" ref="G196:L196" si="28">SUM(G192:G194)</f>
        <v>0</v>
      </c>
      <c r="H196" s="15">
        <f>SUM(H192:H194)</f>
        <v>-1563806</v>
      </c>
      <c r="I196" s="15">
        <f t="shared" si="28"/>
        <v>0</v>
      </c>
      <c r="J196" s="15">
        <f>SUM(J192:J194)</f>
        <v>0</v>
      </c>
      <c r="K196" s="15">
        <f t="shared" si="28"/>
        <v>0</v>
      </c>
      <c r="L196" s="15">
        <f t="shared" si="28"/>
        <v>0</v>
      </c>
    </row>
    <row r="197" spans="2:12" x14ac:dyDescent="0.25">
      <c r="B197" s="5"/>
      <c r="D197" s="28"/>
      <c r="E197" s="28"/>
      <c r="F197" s="28"/>
      <c r="H197" s="28"/>
      <c r="J197" s="28"/>
      <c r="L197" s="28"/>
    </row>
    <row r="198" spans="2:12" x14ac:dyDescent="0.25">
      <c r="B198" s="5" t="s">
        <v>178</v>
      </c>
      <c r="D198" s="10"/>
      <c r="E198" s="10"/>
      <c r="F198" s="10"/>
      <c r="H198" s="10"/>
      <c r="J198" s="10"/>
      <c r="L198" s="10"/>
    </row>
    <row r="199" spans="2:12" x14ac:dyDescent="0.25">
      <c r="B199" s="5" t="s">
        <v>179</v>
      </c>
      <c r="D199" s="4">
        <v>-414525</v>
      </c>
      <c r="E199" s="4"/>
      <c r="F199" s="4">
        <v>-512426</v>
      </c>
      <c r="H199" s="4">
        <v>-668681</v>
      </c>
      <c r="J199" s="4"/>
      <c r="L199" s="4"/>
    </row>
    <row r="200" spans="2:12" x14ac:dyDescent="0.25">
      <c r="B200" s="5" t="s">
        <v>180</v>
      </c>
      <c r="D200" s="4"/>
      <c r="E200" s="4"/>
      <c r="F200" s="4"/>
      <c r="H200" s="4"/>
      <c r="J200" s="4"/>
      <c r="L200" s="4"/>
    </row>
    <row r="201" spans="2:12" x14ac:dyDescent="0.25">
      <c r="B201" s="5" t="s">
        <v>181</v>
      </c>
      <c r="D201" s="15">
        <f>D199+D200</f>
        <v>-414525</v>
      </c>
      <c r="E201" s="15"/>
      <c r="F201" s="15">
        <f>F199+F200</f>
        <v>-512426</v>
      </c>
      <c r="G201" s="15">
        <f t="shared" ref="G201:L201" si="29">G199+G200</f>
        <v>0</v>
      </c>
      <c r="H201" s="15">
        <f>H199+H200</f>
        <v>-668681</v>
      </c>
      <c r="I201" s="15">
        <f t="shared" si="29"/>
        <v>0</v>
      </c>
      <c r="J201" s="15">
        <f>J199+J200</f>
        <v>0</v>
      </c>
      <c r="K201" s="15">
        <f t="shared" si="29"/>
        <v>0</v>
      </c>
      <c r="L201" s="15">
        <f t="shared" si="29"/>
        <v>0</v>
      </c>
    </row>
    <row r="202" spans="2:12" x14ac:dyDescent="0.25">
      <c r="B202" s="5" t="s">
        <v>182</v>
      </c>
      <c r="D202" s="4"/>
      <c r="E202" s="4"/>
      <c r="F202" s="4"/>
      <c r="H202" s="55"/>
      <c r="J202" s="4"/>
      <c r="L202" s="55"/>
    </row>
    <row r="203" spans="2:12" x14ac:dyDescent="0.25">
      <c r="B203" s="5"/>
      <c r="D203" s="15">
        <f>SUM(D201:D202)</f>
        <v>-414525</v>
      </c>
      <c r="E203" s="15"/>
      <c r="F203" s="15">
        <f>SUM(F201:F202)</f>
        <v>-512426</v>
      </c>
      <c r="G203" s="15">
        <f t="shared" ref="G203:L203" si="30">SUM(G201:G202)</f>
        <v>0</v>
      </c>
      <c r="H203" s="15">
        <f>SUM(H201:H202)</f>
        <v>-668681</v>
      </c>
      <c r="I203" s="15">
        <f t="shared" si="30"/>
        <v>0</v>
      </c>
      <c r="J203" s="15">
        <f>SUM(J201:J202)</f>
        <v>0</v>
      </c>
      <c r="K203" s="15">
        <f t="shared" si="30"/>
        <v>0</v>
      </c>
      <c r="L203" s="15">
        <f t="shared" si="30"/>
        <v>0</v>
      </c>
    </row>
    <row r="204" spans="2:12" x14ac:dyDescent="0.25">
      <c r="B204" s="5"/>
      <c r="D204" s="29"/>
      <c r="E204" s="29"/>
      <c r="F204" s="29"/>
      <c r="H204" s="29"/>
      <c r="J204" s="29"/>
      <c r="L204" s="29"/>
    </row>
    <row r="205" spans="2:12" x14ac:dyDescent="0.25">
      <c r="B205" s="5" t="s">
        <v>164</v>
      </c>
      <c r="D205" s="29"/>
      <c r="E205" s="29"/>
      <c r="F205" s="29"/>
      <c r="H205" s="29"/>
      <c r="J205" s="29"/>
      <c r="L205" s="29"/>
    </row>
    <row r="206" spans="2:12" x14ac:dyDescent="0.25">
      <c r="B206" s="5"/>
      <c r="D206" s="4"/>
      <c r="E206" s="4"/>
      <c r="F206" s="4"/>
      <c r="H206" s="4"/>
      <c r="J206" s="4"/>
      <c r="L206" s="4"/>
    </row>
    <row r="207" spans="2:12" x14ac:dyDescent="0.25">
      <c r="B207" s="5"/>
      <c r="D207" s="10"/>
      <c r="E207" s="10"/>
      <c r="F207" s="10"/>
      <c r="H207" s="10"/>
      <c r="J207" s="10"/>
      <c r="L207" s="10"/>
    </row>
    <row r="208" spans="2:12" x14ac:dyDescent="0.25">
      <c r="B208" s="5" t="s">
        <v>183</v>
      </c>
      <c r="D208" s="10"/>
      <c r="E208" s="10"/>
      <c r="F208" s="10"/>
      <c r="H208" s="10"/>
      <c r="J208" s="10"/>
      <c r="L208" s="10"/>
    </row>
    <row r="209" spans="2:12" x14ac:dyDescent="0.25">
      <c r="B209" s="5" t="s">
        <v>184</v>
      </c>
      <c r="D209" s="4"/>
      <c r="E209" s="4"/>
      <c r="F209" s="4"/>
      <c r="H209" s="4"/>
      <c r="J209" s="4"/>
      <c r="L209" s="4"/>
    </row>
    <row r="210" spans="2:12" x14ac:dyDescent="0.25">
      <c r="B210" s="5" t="s">
        <v>185</v>
      </c>
      <c r="D210" s="4">
        <f>-200000-128077-27288</f>
        <v>-355365</v>
      </c>
      <c r="E210" s="4"/>
      <c r="F210" s="4">
        <f>-114000-181314-44975</f>
        <v>-340289</v>
      </c>
      <c r="H210" s="4"/>
      <c r="J210" s="4"/>
      <c r="L210" s="4"/>
    </row>
    <row r="211" spans="2:12" x14ac:dyDescent="0.25">
      <c r="B211" s="5" t="s">
        <v>186</v>
      </c>
      <c r="D211" s="4"/>
      <c r="E211" s="4"/>
      <c r="F211" s="4"/>
      <c r="H211" s="4"/>
      <c r="J211" s="4"/>
      <c r="L211" s="4"/>
    </row>
    <row r="212" spans="2:12" x14ac:dyDescent="0.25">
      <c r="B212" s="5" t="s">
        <v>187</v>
      </c>
      <c r="D212" s="15">
        <f>SUM(D210:D211)</f>
        <v>-355365</v>
      </c>
      <c r="E212" s="15"/>
      <c r="F212" s="15">
        <f>SUM(F210:F211)</f>
        <v>-340289</v>
      </c>
      <c r="G212" s="15">
        <f t="shared" ref="G212:L212" si="31">SUM(G210:G211)</f>
        <v>0</v>
      </c>
      <c r="H212" s="15">
        <f>SUM(H210:H211)</f>
        <v>0</v>
      </c>
      <c r="I212" s="15">
        <f t="shared" si="31"/>
        <v>0</v>
      </c>
      <c r="J212" s="15">
        <f>SUM(J210:J211)</f>
        <v>0</v>
      </c>
      <c r="K212" s="15">
        <f t="shared" si="31"/>
        <v>0</v>
      </c>
      <c r="L212" s="15">
        <f t="shared" si="31"/>
        <v>0</v>
      </c>
    </row>
    <row r="213" spans="2:12" x14ac:dyDescent="0.25">
      <c r="B213" s="5" t="s">
        <v>188</v>
      </c>
      <c r="D213" s="4"/>
      <c r="E213" s="4"/>
      <c r="F213" s="4"/>
      <c r="H213" s="4"/>
      <c r="J213" s="4"/>
      <c r="L213" s="4"/>
    </row>
    <row r="214" spans="2:12" x14ac:dyDescent="0.25">
      <c r="B214" s="5" t="s">
        <v>189</v>
      </c>
      <c r="D214" s="4"/>
      <c r="E214" s="4"/>
      <c r="F214" s="4"/>
      <c r="H214" s="4">
        <v>0</v>
      </c>
      <c r="J214" s="4"/>
      <c r="L214" s="4"/>
    </row>
    <row r="215" spans="2:12" x14ac:dyDescent="0.25">
      <c r="B215" s="5" t="s">
        <v>190</v>
      </c>
      <c r="D215" s="4"/>
      <c r="E215" s="4"/>
      <c r="F215" s="4"/>
      <c r="H215" s="4"/>
      <c r="J215" s="4"/>
      <c r="L215" s="4"/>
    </row>
    <row r="216" spans="2:12" x14ac:dyDescent="0.25">
      <c r="B216" s="5"/>
      <c r="D216" s="4"/>
      <c r="E216" s="4"/>
      <c r="F216" s="4"/>
      <c r="H216" s="4"/>
      <c r="J216" s="4"/>
      <c r="L216" s="4"/>
    </row>
    <row r="217" spans="2:12" x14ac:dyDescent="0.25">
      <c r="B217" s="5" t="s">
        <v>191</v>
      </c>
      <c r="D217" s="10"/>
      <c r="E217" s="10"/>
      <c r="F217" s="10"/>
      <c r="H217" s="10"/>
      <c r="J217" s="10"/>
      <c r="L217" s="10"/>
    </row>
    <row r="218" spans="2:12" x14ac:dyDescent="0.25">
      <c r="B218" s="5" t="s">
        <v>192</v>
      </c>
      <c r="D218" s="30">
        <v>1</v>
      </c>
      <c r="E218" s="30"/>
      <c r="F218" s="30">
        <v>1</v>
      </c>
      <c r="G218" s="30">
        <v>1</v>
      </c>
      <c r="H218" s="30">
        <v>1</v>
      </c>
      <c r="I218" s="30">
        <v>1</v>
      </c>
      <c r="J218" s="30">
        <v>1</v>
      </c>
      <c r="K218" s="30">
        <v>1</v>
      </c>
      <c r="L218" s="30">
        <v>1</v>
      </c>
    </row>
    <row r="219" spans="2:12" x14ac:dyDescent="0.25">
      <c r="B219" s="5" t="s">
        <v>47</v>
      </c>
      <c r="D219" s="15">
        <f>SUM(D220:D229)</f>
        <v>0</v>
      </c>
      <c r="E219" s="15"/>
      <c r="F219" s="15">
        <f>SUM(F220:F229)</f>
        <v>0</v>
      </c>
      <c r="G219" s="15">
        <f t="shared" ref="G219:L219" si="32">SUM(G220:G229)</f>
        <v>0</v>
      </c>
      <c r="H219" s="15">
        <f>SUM(H220:H229)</f>
        <v>0</v>
      </c>
      <c r="I219" s="15">
        <f t="shared" si="32"/>
        <v>0</v>
      </c>
      <c r="J219" s="15">
        <f>SUM(J220:J229)</f>
        <v>0</v>
      </c>
      <c r="K219" s="15">
        <f t="shared" si="32"/>
        <v>0</v>
      </c>
      <c r="L219" s="15">
        <f t="shared" si="32"/>
        <v>0</v>
      </c>
    </row>
    <row r="220" spans="2:12" x14ac:dyDescent="0.25">
      <c r="B220" s="5" t="s">
        <v>193</v>
      </c>
      <c r="D220" s="4"/>
      <c r="E220" s="4"/>
      <c r="F220" s="4"/>
      <c r="H220" s="4"/>
      <c r="J220" s="4"/>
      <c r="L220" s="4"/>
    </row>
    <row r="221" spans="2:12" x14ac:dyDescent="0.25">
      <c r="B221" s="5" t="s">
        <v>50</v>
      </c>
      <c r="D221" s="4"/>
      <c r="E221" s="4"/>
      <c r="F221" s="4"/>
      <c r="H221" s="4"/>
      <c r="J221" s="4"/>
      <c r="L221" s="4"/>
    </row>
    <row r="222" spans="2:12" x14ac:dyDescent="0.25">
      <c r="B222" s="5" t="s">
        <v>56</v>
      </c>
      <c r="D222" s="4"/>
      <c r="E222" s="4"/>
      <c r="F222" s="4"/>
      <c r="H222" s="4"/>
      <c r="J222" s="4"/>
      <c r="L222" s="4"/>
    </row>
    <row r="223" spans="2:12" x14ac:dyDescent="0.25">
      <c r="B223" s="5" t="s">
        <v>194</v>
      </c>
      <c r="D223" s="4"/>
      <c r="E223" s="4"/>
      <c r="F223" s="4"/>
      <c r="H223" s="4"/>
      <c r="J223" s="4"/>
      <c r="L223" s="4"/>
    </row>
    <row r="224" spans="2:12" x14ac:dyDescent="0.25">
      <c r="B224" s="5" t="s">
        <v>195</v>
      </c>
      <c r="D224" s="4"/>
      <c r="E224" s="4"/>
      <c r="F224" s="4"/>
      <c r="H224" s="4"/>
      <c r="J224" s="4"/>
      <c r="L224" s="4"/>
    </row>
    <row r="225" spans="2:12" x14ac:dyDescent="0.25">
      <c r="B225" s="5" t="s">
        <v>53</v>
      </c>
      <c r="D225" s="4"/>
      <c r="E225" s="4"/>
      <c r="F225" s="4"/>
      <c r="H225" s="4"/>
      <c r="J225" s="4"/>
      <c r="L225" s="4"/>
    </row>
    <row r="226" spans="2:12" x14ac:dyDescent="0.25">
      <c r="B226" s="5" t="s">
        <v>196</v>
      </c>
      <c r="D226" s="4"/>
      <c r="E226" s="4"/>
      <c r="F226" s="4"/>
      <c r="H226" s="4"/>
      <c r="J226" s="4"/>
      <c r="L226" s="4"/>
    </row>
    <row r="227" spans="2:12" x14ac:dyDescent="0.25">
      <c r="B227" s="5" t="s">
        <v>60</v>
      </c>
      <c r="D227" s="4"/>
      <c r="E227" s="4"/>
      <c r="F227" s="4"/>
      <c r="H227" s="4"/>
      <c r="J227" s="4"/>
      <c r="L227" s="4"/>
    </row>
    <row r="228" spans="2:12" x14ac:dyDescent="0.25">
      <c r="B228" s="5" t="s">
        <v>44</v>
      </c>
      <c r="D228" s="4"/>
      <c r="E228" s="4"/>
      <c r="F228" s="4"/>
      <c r="H228" s="4"/>
      <c r="J228" s="4"/>
      <c r="L228" s="4"/>
    </row>
    <row r="229" spans="2:12" x14ac:dyDescent="0.25">
      <c r="B229" s="5"/>
      <c r="D229" s="4"/>
      <c r="E229" s="4"/>
      <c r="F229" s="4"/>
      <c r="H229" s="4"/>
      <c r="J229" s="4"/>
      <c r="L229" s="4"/>
    </row>
    <row r="230" spans="2:12" x14ac:dyDescent="0.25">
      <c r="B230" s="5" t="s">
        <v>197</v>
      </c>
      <c r="D230" s="7"/>
      <c r="E230" s="7"/>
      <c r="F230" s="7"/>
      <c r="H230" s="7"/>
      <c r="J230" s="7"/>
      <c r="L230" s="7"/>
    </row>
    <row r="231" spans="2:12" x14ac:dyDescent="0.25">
      <c r="B231" s="5" t="s">
        <v>198</v>
      </c>
      <c r="D231" s="15">
        <f>SUM(D232:D240)</f>
        <v>-153356</v>
      </c>
      <c r="E231" s="15"/>
      <c r="F231" s="15">
        <f>SUM(F232:F240)</f>
        <v>-132435</v>
      </c>
      <c r="G231" s="15">
        <f t="shared" ref="G231:L231" si="33">SUM(G232:G240)</f>
        <v>0</v>
      </c>
      <c r="H231" s="15">
        <f>SUM(H232:H240)</f>
        <v>-132435</v>
      </c>
      <c r="I231" s="15">
        <f t="shared" si="33"/>
        <v>0</v>
      </c>
      <c r="J231" s="15">
        <f>SUM(J232:J240)</f>
        <v>0</v>
      </c>
      <c r="K231" s="15">
        <f t="shared" si="33"/>
        <v>0</v>
      </c>
      <c r="L231" s="15">
        <f t="shared" si="33"/>
        <v>0</v>
      </c>
    </row>
    <row r="232" spans="2:12" x14ac:dyDescent="0.25">
      <c r="B232" s="5" t="s">
        <v>199</v>
      </c>
      <c r="D232" s="4"/>
      <c r="E232" s="4"/>
      <c r="F232" s="4"/>
      <c r="H232" s="4"/>
      <c r="J232" s="4"/>
      <c r="L232" s="4"/>
    </row>
    <row r="233" spans="2:12" x14ac:dyDescent="0.25">
      <c r="B233" s="5" t="s">
        <v>200</v>
      </c>
      <c r="D233" s="4"/>
      <c r="E233" s="4"/>
      <c r="F233" s="4"/>
      <c r="H233" s="4"/>
      <c r="J233" s="4"/>
      <c r="L233" s="4"/>
    </row>
    <row r="234" spans="2:12" x14ac:dyDescent="0.25">
      <c r="B234" s="5" t="s">
        <v>201</v>
      </c>
      <c r="D234" s="4">
        <f>2090-155446</f>
        <v>-153356</v>
      </c>
      <c r="E234" s="4"/>
      <c r="F234" s="4">
        <f>-79354-53081</f>
        <v>-132435</v>
      </c>
      <c r="H234" s="4">
        <f>-79354-53081</f>
        <v>-132435</v>
      </c>
      <c r="J234" s="4"/>
      <c r="L234" s="4"/>
    </row>
    <row r="235" spans="2:12" x14ac:dyDescent="0.25">
      <c r="B235" s="5" t="s">
        <v>202</v>
      </c>
      <c r="D235" s="4"/>
      <c r="E235" s="4"/>
      <c r="F235" s="4"/>
      <c r="H235" s="4"/>
      <c r="J235" s="4"/>
      <c r="L235" s="4"/>
    </row>
    <row r="236" spans="2:12" x14ac:dyDescent="0.25">
      <c r="B236" s="5" t="s">
        <v>195</v>
      </c>
      <c r="D236" s="4"/>
      <c r="E236" s="4"/>
      <c r="F236" s="4"/>
      <c r="H236" s="4"/>
      <c r="J236" s="4"/>
      <c r="L236" s="4"/>
    </row>
    <row r="237" spans="2:12" x14ac:dyDescent="0.25">
      <c r="B237" s="5" t="s">
        <v>203</v>
      </c>
      <c r="D237" s="4"/>
      <c r="E237" s="4"/>
      <c r="F237" s="4"/>
      <c r="H237" s="4"/>
      <c r="J237" s="4"/>
      <c r="L237" s="4"/>
    </row>
    <row r="238" spans="2:12" x14ac:dyDescent="0.25">
      <c r="B238" s="5" t="s">
        <v>114</v>
      </c>
      <c r="D238" s="4"/>
      <c r="E238" s="4"/>
      <c r="F238" s="4"/>
      <c r="H238" s="4"/>
      <c r="J238" s="4"/>
      <c r="L238" s="4"/>
    </row>
    <row r="239" spans="2:12" x14ac:dyDescent="0.25">
      <c r="B239" s="5" t="s">
        <v>44</v>
      </c>
      <c r="D239" s="4"/>
      <c r="E239" s="4"/>
      <c r="F239" s="4"/>
      <c r="H239" s="4"/>
      <c r="J239" s="4"/>
      <c r="L239" s="4"/>
    </row>
    <row r="240" spans="2:12" x14ac:dyDescent="0.25">
      <c r="D240" s="4"/>
      <c r="E240" s="4"/>
      <c r="F240" s="4"/>
      <c r="H240" s="4"/>
      <c r="J240" s="4"/>
      <c r="L240" s="4"/>
    </row>
    <row r="241" spans="4:12" x14ac:dyDescent="0.25">
      <c r="D241" s="7"/>
      <c r="E241" s="7"/>
      <c r="F241" s="7"/>
      <c r="H241" s="7"/>
      <c r="J241" s="7"/>
      <c r="L241" s="7"/>
    </row>
    <row r="242" spans="4:12" x14ac:dyDescent="0.25">
      <c r="D242" s="31">
        <f>D221+D222+D224+D226+D232+D236</f>
        <v>0</v>
      </c>
      <c r="E242" s="31"/>
      <c r="F242" s="31">
        <f>F221+F222+F224+F226+F232+F236</f>
        <v>0</v>
      </c>
      <c r="G242" s="31">
        <f t="shared" ref="G242:L242" si="34">G221+G222+G224+G226+G232+G236</f>
        <v>0</v>
      </c>
      <c r="H242" s="31">
        <f>H221+H222+H224+H226+H232+H236</f>
        <v>0</v>
      </c>
      <c r="I242" s="31">
        <f t="shared" si="34"/>
        <v>0</v>
      </c>
      <c r="J242" s="31">
        <f>J221+J222+J224+J226+J232+J236</f>
        <v>0</v>
      </c>
      <c r="K242" s="31">
        <f t="shared" si="34"/>
        <v>0</v>
      </c>
      <c r="L242" s="31">
        <f t="shared" si="34"/>
        <v>0</v>
      </c>
    </row>
    <row r="243" spans="4:12" x14ac:dyDescent="0.25">
      <c r="D243" s="32"/>
      <c r="E243" s="32"/>
      <c r="F243" s="32"/>
      <c r="H243" s="32"/>
      <c r="J243" s="32"/>
      <c r="L243" s="32"/>
    </row>
    <row r="244" spans="4:12" x14ac:dyDescent="0.25">
      <c r="D244" s="10"/>
      <c r="E244" s="10"/>
      <c r="F244" s="10"/>
      <c r="H244" s="10"/>
      <c r="J244" s="10"/>
      <c r="L244" s="10"/>
    </row>
    <row r="245" spans="4:12" x14ac:dyDescent="0.25">
      <c r="D245" s="15">
        <f>SUM(D246:D250)</f>
        <v>0</v>
      </c>
      <c r="E245" s="15"/>
      <c r="F245" s="15">
        <f>SUM(F246:F250)</f>
        <v>0</v>
      </c>
      <c r="G245" s="15">
        <f t="shared" ref="G245:L245" si="35">SUM(G246:G250)</f>
        <v>0</v>
      </c>
      <c r="H245" s="15">
        <f>SUM(H246:H250)</f>
        <v>0</v>
      </c>
      <c r="I245" s="15">
        <f t="shared" si="35"/>
        <v>0</v>
      </c>
      <c r="J245" s="15">
        <f>SUM(J246:J250)</f>
        <v>0</v>
      </c>
      <c r="K245" s="15">
        <f t="shared" si="35"/>
        <v>0</v>
      </c>
      <c r="L245" s="15">
        <f t="shared" si="35"/>
        <v>0</v>
      </c>
    </row>
    <row r="246" spans="4:12" x14ac:dyDescent="0.25">
      <c r="D246" s="4"/>
      <c r="E246" s="4"/>
      <c r="F246" s="4"/>
      <c r="H246" s="4"/>
      <c r="J246" s="4"/>
      <c r="L246" s="4"/>
    </row>
    <row r="247" spans="4:12" x14ac:dyDescent="0.25">
      <c r="D247" s="4"/>
      <c r="E247" s="4"/>
      <c r="F247" s="4"/>
      <c r="H247" s="4"/>
      <c r="J247" s="4"/>
      <c r="L247" s="4"/>
    </row>
    <row r="248" spans="4:12" x14ac:dyDescent="0.25">
      <c r="D248" s="4"/>
      <c r="E248" s="4"/>
      <c r="F248" s="4"/>
      <c r="H248" s="4"/>
      <c r="J248" s="4"/>
      <c r="L248" s="4"/>
    </row>
    <row r="249" spans="4:12" x14ac:dyDescent="0.25">
      <c r="D249" s="4"/>
      <c r="E249" s="4"/>
      <c r="F249" s="4"/>
      <c r="H249" s="4"/>
      <c r="J249" s="4"/>
      <c r="L249" s="4"/>
    </row>
    <row r="250" spans="4:12" x14ac:dyDescent="0.25">
      <c r="D250" s="4"/>
      <c r="E250" s="4"/>
      <c r="F250" s="4"/>
      <c r="H250" s="4"/>
      <c r="J250" s="4"/>
      <c r="L250" s="4"/>
    </row>
    <row r="251" spans="4:12" x14ac:dyDescent="0.25">
      <c r="D251" s="10"/>
      <c r="E251" s="10"/>
      <c r="F251" s="10"/>
      <c r="H251" s="10"/>
      <c r="J251" s="10"/>
      <c r="L251" s="10"/>
    </row>
    <row r="252" spans="4:12" x14ac:dyDescent="0.25">
      <c r="D252" s="4"/>
      <c r="E252" s="4"/>
      <c r="F252" s="4"/>
      <c r="H252" s="4"/>
      <c r="J252" s="4"/>
      <c r="L252" s="4"/>
    </row>
    <row r="253" spans="4:12" x14ac:dyDescent="0.25">
      <c r="D253" s="33">
        <f>D252*D136</f>
        <v>0</v>
      </c>
      <c r="E253" s="33"/>
      <c r="F253" s="33">
        <f>F252*F136</f>
        <v>0</v>
      </c>
      <c r="G253" s="33">
        <f t="shared" ref="G253:L253" si="36">G252*G136</f>
        <v>0</v>
      </c>
      <c r="H253" s="33">
        <f>H252*H136</f>
        <v>0</v>
      </c>
      <c r="I253" s="33">
        <f t="shared" si="36"/>
        <v>0</v>
      </c>
      <c r="J253" s="33">
        <f>J252*J136</f>
        <v>0</v>
      </c>
      <c r="K253" s="33">
        <f t="shared" si="36"/>
        <v>0</v>
      </c>
      <c r="L253" s="33">
        <f t="shared" si="36"/>
        <v>0</v>
      </c>
    </row>
    <row r="254" spans="4:12" x14ac:dyDescent="0.25">
      <c r="D254" s="33">
        <f>D252*D75</f>
        <v>0</v>
      </c>
      <c r="E254" s="33"/>
      <c r="F254" s="33">
        <f>F252*F75</f>
        <v>0</v>
      </c>
      <c r="G254" s="33">
        <f t="shared" ref="G254:L254" si="37">G252*G75</f>
        <v>0</v>
      </c>
      <c r="H254" s="33">
        <f>H252*H75</f>
        <v>0</v>
      </c>
      <c r="I254" s="33">
        <f t="shared" si="37"/>
        <v>0</v>
      </c>
      <c r="J254" s="33">
        <f>J252*J75</f>
        <v>0</v>
      </c>
      <c r="K254" s="33">
        <f t="shared" si="37"/>
        <v>0</v>
      </c>
      <c r="L254" s="33">
        <f t="shared" si="37"/>
        <v>0</v>
      </c>
    </row>
    <row r="255" spans="4:12" x14ac:dyDescent="0.25">
      <c r="D255" s="34">
        <f>D254-D253</f>
        <v>0</v>
      </c>
      <c r="E255" s="34"/>
      <c r="F255" s="34">
        <f>F254-F253</f>
        <v>0</v>
      </c>
      <c r="G255" s="34">
        <f t="shared" ref="G255:L255" si="38">G254-G253</f>
        <v>0</v>
      </c>
      <c r="H255" s="34">
        <f>H254-H253</f>
        <v>0</v>
      </c>
      <c r="I255" s="34">
        <f t="shared" si="38"/>
        <v>0</v>
      </c>
      <c r="J255" s="34">
        <f>J254-J253</f>
        <v>0</v>
      </c>
      <c r="K255" s="34">
        <f t="shared" si="38"/>
        <v>0</v>
      </c>
      <c r="L255" s="34">
        <f t="shared" si="38"/>
        <v>0</v>
      </c>
    </row>
    <row r="256" spans="4:12" x14ac:dyDescent="0.25">
      <c r="D256" s="10"/>
      <c r="E256" s="10"/>
      <c r="F256" s="10"/>
      <c r="H256" s="10"/>
      <c r="J256" s="10"/>
      <c r="L256" s="10"/>
    </row>
    <row r="257" spans="4:12" x14ac:dyDescent="0.25">
      <c r="D257" s="15">
        <f>IF(D218=1,D219,0)</f>
        <v>0</v>
      </c>
      <c r="E257" s="15"/>
      <c r="F257" s="15">
        <f>IF(F218=1,F219,0)</f>
        <v>0</v>
      </c>
      <c r="G257" s="15">
        <f t="shared" ref="G257:L257" si="39">IF(G218=1,G219,0)</f>
        <v>0</v>
      </c>
      <c r="H257" s="15">
        <f>IF(H218=1,H219,0)</f>
        <v>0</v>
      </c>
      <c r="I257" s="15">
        <f t="shared" si="39"/>
        <v>0</v>
      </c>
      <c r="J257" s="15">
        <f>IF(J218=1,J219,0)</f>
        <v>0</v>
      </c>
      <c r="K257" s="15">
        <f t="shared" si="39"/>
        <v>0</v>
      </c>
      <c r="L257" s="15">
        <f t="shared" si="39"/>
        <v>0</v>
      </c>
    </row>
    <row r="258" spans="4:12" x14ac:dyDescent="0.25">
      <c r="D258" s="35">
        <f t="shared" ref="D258:F267" si="40">+D220</f>
        <v>0</v>
      </c>
      <c r="E258" s="35"/>
      <c r="F258" s="35">
        <f t="shared" ref="F258:H267" si="41">+F220</f>
        <v>0</v>
      </c>
      <c r="G258" s="35">
        <f t="shared" ref="D258:L267" si="42">+G220</f>
        <v>0</v>
      </c>
      <c r="H258" s="35">
        <f t="shared" ref="H258:J267" si="43">+H220</f>
        <v>0</v>
      </c>
      <c r="I258" s="35">
        <f t="shared" si="42"/>
        <v>0</v>
      </c>
      <c r="J258" s="35">
        <f t="shared" si="42"/>
        <v>0</v>
      </c>
      <c r="K258" s="35">
        <f t="shared" si="42"/>
        <v>0</v>
      </c>
      <c r="L258" s="35">
        <f t="shared" si="42"/>
        <v>0</v>
      </c>
    </row>
    <row r="259" spans="4:12" x14ac:dyDescent="0.25">
      <c r="D259" s="35">
        <f t="shared" si="40"/>
        <v>0</v>
      </c>
      <c r="E259" s="35"/>
      <c r="F259" s="35">
        <f t="shared" si="41"/>
        <v>0</v>
      </c>
      <c r="G259" s="35">
        <f t="shared" si="42"/>
        <v>0</v>
      </c>
      <c r="H259" s="35">
        <f t="shared" si="43"/>
        <v>0</v>
      </c>
      <c r="I259" s="35">
        <f t="shared" si="42"/>
        <v>0</v>
      </c>
      <c r="J259" s="35">
        <f t="shared" si="42"/>
        <v>0</v>
      </c>
      <c r="K259" s="35">
        <f t="shared" si="42"/>
        <v>0</v>
      </c>
      <c r="L259" s="35">
        <f t="shared" si="42"/>
        <v>0</v>
      </c>
    </row>
    <row r="260" spans="4:12" x14ac:dyDescent="0.25">
      <c r="D260" s="35">
        <f t="shared" si="40"/>
        <v>0</v>
      </c>
      <c r="E260" s="35"/>
      <c r="F260" s="35">
        <f t="shared" si="41"/>
        <v>0</v>
      </c>
      <c r="G260" s="35">
        <f t="shared" si="42"/>
        <v>0</v>
      </c>
      <c r="H260" s="35">
        <f t="shared" si="43"/>
        <v>0</v>
      </c>
      <c r="I260" s="35">
        <f t="shared" si="42"/>
        <v>0</v>
      </c>
      <c r="J260" s="35">
        <f t="shared" si="42"/>
        <v>0</v>
      </c>
      <c r="K260" s="35">
        <f t="shared" si="42"/>
        <v>0</v>
      </c>
      <c r="L260" s="35">
        <f t="shared" si="42"/>
        <v>0</v>
      </c>
    </row>
    <row r="261" spans="4:12" x14ac:dyDescent="0.25">
      <c r="D261" s="35">
        <f t="shared" si="40"/>
        <v>0</v>
      </c>
      <c r="E261" s="35"/>
      <c r="F261" s="35">
        <f t="shared" si="41"/>
        <v>0</v>
      </c>
      <c r="G261" s="35">
        <f t="shared" si="42"/>
        <v>0</v>
      </c>
      <c r="H261" s="35">
        <f t="shared" si="43"/>
        <v>0</v>
      </c>
      <c r="I261" s="35">
        <f t="shared" si="42"/>
        <v>0</v>
      </c>
      <c r="J261" s="35">
        <f t="shared" si="42"/>
        <v>0</v>
      </c>
      <c r="K261" s="35">
        <f t="shared" si="42"/>
        <v>0</v>
      </c>
      <c r="L261" s="35">
        <f t="shared" si="42"/>
        <v>0</v>
      </c>
    </row>
    <row r="262" spans="4:12" x14ac:dyDescent="0.25">
      <c r="D262" s="35">
        <f t="shared" si="40"/>
        <v>0</v>
      </c>
      <c r="E262" s="35"/>
      <c r="F262" s="35">
        <f t="shared" si="41"/>
        <v>0</v>
      </c>
      <c r="G262" s="35">
        <f t="shared" si="42"/>
        <v>0</v>
      </c>
      <c r="H262" s="35">
        <f t="shared" si="43"/>
        <v>0</v>
      </c>
      <c r="I262" s="35">
        <f t="shared" si="42"/>
        <v>0</v>
      </c>
      <c r="J262" s="35">
        <f t="shared" si="42"/>
        <v>0</v>
      </c>
      <c r="K262" s="35">
        <f t="shared" si="42"/>
        <v>0</v>
      </c>
      <c r="L262" s="35">
        <f t="shared" si="42"/>
        <v>0</v>
      </c>
    </row>
    <row r="263" spans="4:12" x14ac:dyDescent="0.25">
      <c r="D263" s="35">
        <f t="shared" si="40"/>
        <v>0</v>
      </c>
      <c r="E263" s="35"/>
      <c r="F263" s="35">
        <f t="shared" si="41"/>
        <v>0</v>
      </c>
      <c r="G263" s="35">
        <f t="shared" si="42"/>
        <v>0</v>
      </c>
      <c r="H263" s="35">
        <f t="shared" si="43"/>
        <v>0</v>
      </c>
      <c r="I263" s="35">
        <f t="shared" si="42"/>
        <v>0</v>
      </c>
      <c r="J263" s="35">
        <f t="shared" si="42"/>
        <v>0</v>
      </c>
      <c r="K263" s="35">
        <f t="shared" si="42"/>
        <v>0</v>
      </c>
      <c r="L263" s="35">
        <f t="shared" si="42"/>
        <v>0</v>
      </c>
    </row>
    <row r="264" spans="4:12" x14ac:dyDescent="0.25">
      <c r="D264" s="35">
        <f t="shared" si="40"/>
        <v>0</v>
      </c>
      <c r="E264" s="35"/>
      <c r="F264" s="35">
        <f t="shared" si="41"/>
        <v>0</v>
      </c>
      <c r="G264" s="35">
        <f t="shared" si="42"/>
        <v>0</v>
      </c>
      <c r="H264" s="35">
        <f t="shared" si="43"/>
        <v>0</v>
      </c>
      <c r="I264" s="35">
        <f t="shared" si="42"/>
        <v>0</v>
      </c>
      <c r="J264" s="35">
        <f t="shared" si="42"/>
        <v>0</v>
      </c>
      <c r="K264" s="35">
        <f t="shared" si="42"/>
        <v>0</v>
      </c>
      <c r="L264" s="35">
        <f t="shared" si="42"/>
        <v>0</v>
      </c>
    </row>
    <row r="265" spans="4:12" x14ac:dyDescent="0.25">
      <c r="D265" s="35">
        <f t="shared" si="40"/>
        <v>0</v>
      </c>
      <c r="E265" s="35"/>
      <c r="F265" s="35">
        <f t="shared" si="41"/>
        <v>0</v>
      </c>
      <c r="G265" s="35">
        <f t="shared" si="42"/>
        <v>0</v>
      </c>
      <c r="H265" s="35">
        <f t="shared" si="43"/>
        <v>0</v>
      </c>
      <c r="I265" s="35">
        <f t="shared" si="42"/>
        <v>0</v>
      </c>
      <c r="J265" s="35">
        <f t="shared" si="42"/>
        <v>0</v>
      </c>
      <c r="K265" s="35">
        <f t="shared" si="42"/>
        <v>0</v>
      </c>
      <c r="L265" s="35">
        <f t="shared" si="42"/>
        <v>0</v>
      </c>
    </row>
    <row r="266" spans="4:12" x14ac:dyDescent="0.25">
      <c r="D266" s="35">
        <f t="shared" si="40"/>
        <v>0</v>
      </c>
      <c r="E266" s="35"/>
      <c r="F266" s="35">
        <f t="shared" si="41"/>
        <v>0</v>
      </c>
      <c r="G266" s="35">
        <f t="shared" si="42"/>
        <v>0</v>
      </c>
      <c r="H266" s="35">
        <f t="shared" si="43"/>
        <v>0</v>
      </c>
      <c r="I266" s="35">
        <f t="shared" si="42"/>
        <v>0</v>
      </c>
      <c r="J266" s="35">
        <f t="shared" si="42"/>
        <v>0</v>
      </c>
      <c r="K266" s="35">
        <f t="shared" si="42"/>
        <v>0</v>
      </c>
      <c r="L266" s="35">
        <f t="shared" si="42"/>
        <v>0</v>
      </c>
    </row>
    <row r="267" spans="4:12" x14ac:dyDescent="0.25">
      <c r="D267" s="35">
        <f t="shared" si="40"/>
        <v>0</v>
      </c>
      <c r="E267" s="35"/>
      <c r="F267" s="35">
        <f t="shared" si="41"/>
        <v>0</v>
      </c>
      <c r="G267" s="35">
        <f t="shared" si="42"/>
        <v>0</v>
      </c>
      <c r="H267" s="35">
        <f t="shared" si="43"/>
        <v>0</v>
      </c>
      <c r="I267" s="35">
        <f t="shared" si="42"/>
        <v>0</v>
      </c>
      <c r="J267" s="35">
        <f t="shared" si="42"/>
        <v>0</v>
      </c>
      <c r="K267" s="35">
        <f t="shared" si="42"/>
        <v>0</v>
      </c>
      <c r="L267" s="35">
        <f t="shared" si="42"/>
        <v>0</v>
      </c>
    </row>
    <row r="268" spans="4:12" x14ac:dyDescent="0.25">
      <c r="D268" s="7"/>
      <c r="E268" s="7"/>
      <c r="F268" s="7"/>
      <c r="H268" s="7"/>
      <c r="J268" s="7"/>
      <c r="L268" s="7"/>
    </row>
    <row r="269" spans="4:12" x14ac:dyDescent="0.25">
      <c r="D269" s="7"/>
      <c r="E269" s="7"/>
      <c r="F269" s="7"/>
      <c r="H269" s="7"/>
      <c r="J269" s="7"/>
      <c r="L269" s="7"/>
    </row>
    <row r="270" spans="4:12" x14ac:dyDescent="0.25">
      <c r="D270" s="15">
        <f>IF(D218=1,D231,0)</f>
        <v>-153356</v>
      </c>
      <c r="E270" s="15"/>
      <c r="F270" s="15">
        <f>IF(F218=1,F231,0)</f>
        <v>-132435</v>
      </c>
      <c r="H270" s="15">
        <f>IF(H218=1,H231,0)</f>
        <v>-132435</v>
      </c>
      <c r="J270" s="15"/>
      <c r="L270" s="15"/>
    </row>
    <row r="271" spans="4:12" x14ac:dyDescent="0.25">
      <c r="D271" s="35">
        <f t="shared" ref="D271" si="44">+D232</f>
        <v>0</v>
      </c>
      <c r="E271" s="35"/>
      <c r="F271" s="35">
        <f t="shared" ref="F271" si="45">+F232</f>
        <v>0</v>
      </c>
      <c r="H271" s="35">
        <f t="shared" ref="H271:J279" si="46">+H232</f>
        <v>0</v>
      </c>
      <c r="J271" s="35"/>
      <c r="L271" s="35"/>
    </row>
    <row r="272" spans="4:12" x14ac:dyDescent="0.25">
      <c r="D272" s="35">
        <f t="shared" ref="D272" si="47">+D233</f>
        <v>0</v>
      </c>
      <c r="E272" s="35"/>
      <c r="F272" s="35">
        <f t="shared" ref="F272" si="48">+F233</f>
        <v>0</v>
      </c>
      <c r="H272" s="35">
        <f t="shared" si="46"/>
        <v>0</v>
      </c>
      <c r="J272" s="35"/>
      <c r="L272" s="35"/>
    </row>
    <row r="273" spans="4:12" x14ac:dyDescent="0.25">
      <c r="D273" s="35">
        <f t="shared" ref="D273" si="49">+D234</f>
        <v>-153356</v>
      </c>
      <c r="E273" s="35"/>
      <c r="F273" s="35">
        <f t="shared" ref="F273" si="50">+F234</f>
        <v>-132435</v>
      </c>
      <c r="H273" s="35">
        <f t="shared" si="46"/>
        <v>-132435</v>
      </c>
      <c r="J273" s="35"/>
      <c r="L273" s="35"/>
    </row>
    <row r="274" spans="4:12" x14ac:dyDescent="0.25">
      <c r="D274" s="35">
        <f t="shared" ref="D274" si="51">+D235</f>
        <v>0</v>
      </c>
      <c r="E274" s="35"/>
      <c r="F274" s="35">
        <f t="shared" ref="F274" si="52">+F235</f>
        <v>0</v>
      </c>
      <c r="H274" s="35">
        <f t="shared" si="46"/>
        <v>0</v>
      </c>
      <c r="J274" s="35"/>
      <c r="L274" s="35"/>
    </row>
    <row r="275" spans="4:12" x14ac:dyDescent="0.25">
      <c r="D275" s="35">
        <f t="shared" ref="D275" si="53">+D236</f>
        <v>0</v>
      </c>
      <c r="E275" s="35"/>
      <c r="F275" s="35">
        <f t="shared" ref="F275" si="54">+F236</f>
        <v>0</v>
      </c>
      <c r="H275" s="35">
        <f t="shared" si="46"/>
        <v>0</v>
      </c>
      <c r="J275" s="35"/>
      <c r="L275" s="35"/>
    </row>
    <row r="276" spans="4:12" x14ac:dyDescent="0.25">
      <c r="D276" s="35">
        <f t="shared" ref="D276" si="55">+D237</f>
        <v>0</v>
      </c>
      <c r="E276" s="35"/>
      <c r="F276" s="35">
        <f t="shared" ref="F276" si="56">+F237</f>
        <v>0</v>
      </c>
      <c r="H276" s="35">
        <f t="shared" si="46"/>
        <v>0</v>
      </c>
      <c r="J276" s="35"/>
      <c r="L276" s="35"/>
    </row>
    <row r="277" spans="4:12" x14ac:dyDescent="0.25">
      <c r="D277" s="35">
        <f t="shared" ref="D277" si="57">+D238</f>
        <v>0</v>
      </c>
      <c r="E277" s="35"/>
      <c r="F277" s="35">
        <f t="shared" ref="F277" si="58">+F238</f>
        <v>0</v>
      </c>
      <c r="H277" s="35">
        <f t="shared" si="46"/>
        <v>0</v>
      </c>
      <c r="J277" s="35"/>
      <c r="L277" s="35"/>
    </row>
    <row r="278" spans="4:12" x14ac:dyDescent="0.25">
      <c r="D278" s="35">
        <f t="shared" ref="D278" si="59">+D239</f>
        <v>0</v>
      </c>
      <c r="E278" s="35"/>
      <c r="F278" s="35">
        <f t="shared" ref="F278" si="60">+F239</f>
        <v>0</v>
      </c>
      <c r="H278" s="35">
        <f t="shared" si="46"/>
        <v>0</v>
      </c>
      <c r="J278" s="35"/>
      <c r="L278" s="35"/>
    </row>
    <row r="279" spans="4:12" x14ac:dyDescent="0.25">
      <c r="D279" s="35">
        <f t="shared" ref="D279" si="61">+D240</f>
        <v>0</v>
      </c>
      <c r="E279" s="35"/>
      <c r="F279" s="35">
        <f t="shared" ref="F279" si="62">+F240</f>
        <v>0</v>
      </c>
      <c r="H279" s="35">
        <f t="shared" si="46"/>
        <v>0</v>
      </c>
      <c r="J279" s="35"/>
      <c r="L279" s="35"/>
    </row>
    <row r="280" spans="4:12" x14ac:dyDescent="0.25">
      <c r="D280" s="36"/>
      <c r="E280" s="36"/>
      <c r="F280" s="36"/>
      <c r="H280" s="36"/>
      <c r="J280" s="36"/>
      <c r="L280" s="36"/>
    </row>
    <row r="281" spans="4:12" x14ac:dyDescent="0.25">
      <c r="D281" s="1">
        <f>D241</f>
        <v>0</v>
      </c>
      <c r="F281" s="1">
        <f>F241</f>
        <v>0</v>
      </c>
      <c r="H281">
        <f>H241</f>
        <v>0</v>
      </c>
    </row>
    <row r="283" spans="4:12" x14ac:dyDescent="0.25">
      <c r="D283" s="37"/>
      <c r="E283" s="37"/>
      <c r="F283" s="37"/>
      <c r="H283" s="37"/>
      <c r="J283" s="37"/>
      <c r="L283" s="37"/>
    </row>
    <row r="284" spans="4:12" x14ac:dyDescent="0.25">
      <c r="D284" s="37"/>
      <c r="E284" s="37"/>
      <c r="F284" s="37"/>
      <c r="H284" s="37"/>
      <c r="J284" s="37"/>
      <c r="L284" s="37"/>
    </row>
    <row r="285" spans="4:12" x14ac:dyDescent="0.25">
      <c r="D285" s="4"/>
      <c r="E285" s="4"/>
      <c r="F285" s="4"/>
      <c r="H285" s="4"/>
      <c r="J285" s="4"/>
      <c r="L285" s="4"/>
    </row>
    <row r="286" spans="4:12" x14ac:dyDescent="0.25">
      <c r="D286" s="4"/>
      <c r="E286" s="4"/>
      <c r="F286" s="4"/>
      <c r="H286" s="4"/>
      <c r="J286" s="4"/>
      <c r="L286" s="4"/>
    </row>
    <row r="287" spans="4:12" x14ac:dyDescent="0.25">
      <c r="D287" s="4"/>
      <c r="E287" s="4"/>
      <c r="F287" s="4"/>
      <c r="H287" s="4"/>
      <c r="J287" s="4"/>
      <c r="L287" s="4"/>
    </row>
    <row r="288" spans="4:12" x14ac:dyDescent="0.25">
      <c r="D288" s="4"/>
      <c r="E288" s="4"/>
      <c r="F288" s="4"/>
      <c r="H288" s="4"/>
      <c r="J288" s="4"/>
      <c r="L288" s="4"/>
    </row>
    <row r="289" spans="4:12" x14ac:dyDescent="0.25">
      <c r="D289" s="4"/>
      <c r="E289" s="4"/>
      <c r="F289" s="4"/>
      <c r="H289" s="4"/>
      <c r="J289" s="4"/>
      <c r="L289" s="4"/>
    </row>
    <row r="290" spans="4:12" x14ac:dyDescent="0.25">
      <c r="D290" s="4"/>
      <c r="E290" s="4"/>
      <c r="F290" s="4"/>
      <c r="H290" s="4"/>
      <c r="J290" s="4"/>
      <c r="L290" s="4"/>
    </row>
    <row r="291" spans="4:12" x14ac:dyDescent="0.25">
      <c r="D291" s="4"/>
      <c r="E291" s="4"/>
      <c r="F291" s="4"/>
      <c r="H291" s="4"/>
      <c r="J291" s="4"/>
      <c r="L291" s="4"/>
    </row>
    <row r="292" spans="4:12" x14ac:dyDescent="0.25">
      <c r="D292" s="4"/>
      <c r="E292" s="4"/>
      <c r="F292" s="4"/>
      <c r="H292" s="4"/>
      <c r="J292" s="4"/>
      <c r="L292" s="4"/>
    </row>
    <row r="293" spans="4:12" x14ac:dyDescent="0.25">
      <c r="D293" s="4"/>
      <c r="E293" s="4"/>
      <c r="F293" s="4"/>
      <c r="H293" s="4"/>
      <c r="J293" s="4"/>
      <c r="L293" s="4"/>
    </row>
    <row r="294" spans="4:12" x14ac:dyDescent="0.25">
      <c r="D294" s="4"/>
      <c r="E294" s="4"/>
      <c r="F294" s="4"/>
      <c r="H294" s="4"/>
      <c r="J294" s="4"/>
      <c r="L294" s="4"/>
    </row>
    <row r="295" spans="4:12" x14ac:dyDescent="0.25">
      <c r="D295" s="4"/>
      <c r="E295" s="4"/>
      <c r="F295" s="4"/>
      <c r="H295" s="4"/>
      <c r="J295" s="4"/>
      <c r="L295" s="4"/>
    </row>
    <row r="296" spans="4:12" x14ac:dyDescent="0.25">
      <c r="D296" s="38"/>
      <c r="E296" s="38"/>
      <c r="F296" s="38"/>
      <c r="H296" s="38"/>
      <c r="J296" s="38"/>
      <c r="L296" s="38"/>
    </row>
    <row r="297" spans="4:12" x14ac:dyDescent="0.25">
      <c r="D297" s="38"/>
      <c r="E297" s="38"/>
      <c r="F297" s="38"/>
      <c r="H297" s="38"/>
      <c r="J297" s="38"/>
      <c r="L297" s="38"/>
    </row>
    <row r="298" spans="4:12" x14ac:dyDescent="0.25">
      <c r="D298" s="38"/>
      <c r="E298" s="38"/>
      <c r="F298" s="38"/>
      <c r="H298" s="38"/>
      <c r="J298" s="38"/>
      <c r="L298" s="38"/>
    </row>
    <row r="299" spans="4:12" x14ac:dyDescent="0.25">
      <c r="D299" s="38"/>
      <c r="E299" s="38"/>
      <c r="F299" s="38"/>
      <c r="H299" s="38"/>
      <c r="J299" s="38"/>
      <c r="L299" s="38"/>
    </row>
    <row r="300" spans="4:12" x14ac:dyDescent="0.25">
      <c r="D300" s="38"/>
      <c r="E300" s="38"/>
      <c r="F300" s="38"/>
      <c r="H300" s="38"/>
      <c r="J300" s="38"/>
      <c r="L300" s="38"/>
    </row>
    <row r="301" spans="4:12" x14ac:dyDescent="0.25">
      <c r="D301" s="38"/>
      <c r="E301" s="38"/>
      <c r="F301" s="38"/>
      <c r="H301" s="38"/>
      <c r="J301" s="38"/>
      <c r="L301" s="38"/>
    </row>
    <row r="302" spans="4:12" x14ac:dyDescent="0.25">
      <c r="D302" s="38"/>
      <c r="E302" s="38"/>
      <c r="F302" s="38"/>
      <c r="H302" s="38"/>
      <c r="J302" s="38"/>
      <c r="L302" s="38"/>
    </row>
    <row r="303" spans="4:12" x14ac:dyDescent="0.25">
      <c r="D303" s="38"/>
      <c r="E303" s="38"/>
      <c r="F303" s="38"/>
      <c r="H303" s="38"/>
      <c r="J303" s="38"/>
      <c r="L303" s="38"/>
    </row>
    <row r="304" spans="4:12" x14ac:dyDescent="0.25">
      <c r="D304" s="38"/>
      <c r="E304" s="38"/>
      <c r="F304" s="38"/>
      <c r="H304" s="38"/>
      <c r="J304" s="38"/>
      <c r="L304" s="38"/>
    </row>
    <row r="305" spans="4:12" x14ac:dyDescent="0.25">
      <c r="D305" s="38"/>
      <c r="E305" s="38"/>
      <c r="F305" s="38"/>
      <c r="H305" s="38"/>
      <c r="J305" s="38"/>
      <c r="L305" s="38"/>
    </row>
    <row r="306" spans="4:12" x14ac:dyDescent="0.25">
      <c r="D306" s="39"/>
      <c r="E306" s="39"/>
      <c r="F306" s="39"/>
      <c r="H306" s="39"/>
      <c r="J306" s="39"/>
      <c r="L306" s="39"/>
    </row>
    <row r="310" spans="4:12" x14ac:dyDescent="0.25">
      <c r="D310" s="40"/>
      <c r="E310" s="40"/>
      <c r="F310" s="40"/>
      <c r="H310" s="40"/>
      <c r="J310" s="40"/>
      <c r="L310" s="40"/>
    </row>
    <row r="311" spans="4:12" x14ac:dyDescent="0.25">
      <c r="D311" s="41">
        <f>D26</f>
        <v>44926</v>
      </c>
      <c r="E311" s="41"/>
      <c r="F311" s="41">
        <f>F26</f>
        <v>45291</v>
      </c>
      <c r="H311" s="41">
        <f>H26</f>
        <v>45657</v>
      </c>
      <c r="I311" s="41" t="str">
        <f>I26</f>
        <v/>
      </c>
      <c r="J311" s="41">
        <f>J26</f>
        <v>46022</v>
      </c>
      <c r="K311" s="41" t="str">
        <f>K26</f>
        <v/>
      </c>
      <c r="L311" s="41" t="str">
        <f>L26</f>
        <v/>
      </c>
    </row>
    <row r="312" spans="4:12" x14ac:dyDescent="0.25">
      <c r="D312" s="42"/>
      <c r="E312" s="42"/>
      <c r="F312" s="42"/>
      <c r="H312" s="42"/>
      <c r="I312" s="42"/>
      <c r="J312" s="42"/>
      <c r="K312" s="42"/>
      <c r="L312" s="42"/>
    </row>
    <row r="313" spans="4:12" x14ac:dyDescent="0.25">
      <c r="D313" s="43">
        <f>D317</f>
        <v>0</v>
      </c>
      <c r="E313" s="43"/>
      <c r="F313" s="43">
        <f>F317</f>
        <v>0</v>
      </c>
      <c r="H313" s="43">
        <f>H317</f>
        <v>0</v>
      </c>
      <c r="I313" s="43">
        <f>I317</f>
        <v>0</v>
      </c>
      <c r="J313" s="43">
        <f>J317</f>
        <v>0</v>
      </c>
      <c r="K313" s="43">
        <f>K317</f>
        <v>0</v>
      </c>
      <c r="L313" s="43">
        <f>L317</f>
        <v>0</v>
      </c>
    </row>
    <row r="314" spans="4:12" x14ac:dyDescent="0.25">
      <c r="D314" s="44"/>
      <c r="E314" s="44"/>
      <c r="F314" s="44"/>
      <c r="H314" s="44"/>
      <c r="J314" s="44"/>
      <c r="L314" s="44"/>
    </row>
    <row r="315" spans="4:12" x14ac:dyDescent="0.25">
      <c r="D315" s="45" t="s">
        <v>204</v>
      </c>
      <c r="E315" s="45"/>
      <c r="F315" s="45" t="s">
        <v>204</v>
      </c>
      <c r="H315" s="45" t="s">
        <v>204</v>
      </c>
      <c r="J315" s="45" t="s">
        <v>204</v>
      </c>
      <c r="L315" s="45"/>
    </row>
    <row r="316" spans="4:12" x14ac:dyDescent="0.25">
      <c r="D316" s="46"/>
      <c r="E316" s="46"/>
      <c r="F316" s="46"/>
      <c r="H316" s="46"/>
      <c r="J316" s="46"/>
      <c r="L316" s="46"/>
    </row>
    <row r="317" spans="4:12" x14ac:dyDescent="0.25">
      <c r="D317" s="47"/>
      <c r="E317" s="47"/>
      <c r="F317" s="47"/>
      <c r="H317" s="47"/>
      <c r="J317" s="47"/>
      <c r="L317" s="47"/>
    </row>
    <row r="320" spans="4:12" x14ac:dyDescent="0.25">
      <c r="D320" s="48">
        <f>D26</f>
        <v>44926</v>
      </c>
      <c r="E320" s="48"/>
      <c r="F320" s="48">
        <f>F26</f>
        <v>45291</v>
      </c>
      <c r="H320" s="48">
        <f>H26</f>
        <v>45657</v>
      </c>
      <c r="J320" s="48">
        <f>J26</f>
        <v>46022</v>
      </c>
      <c r="L320" s="48"/>
    </row>
    <row r="321" spans="4:12" x14ac:dyDescent="0.25">
      <c r="D321" s="4">
        <f>D97</f>
        <v>1735710</v>
      </c>
      <c r="E321" s="4"/>
      <c r="F321" s="4">
        <f>F97</f>
        <v>1384582</v>
      </c>
      <c r="H321" s="4">
        <f>H97</f>
        <v>1384582</v>
      </c>
      <c r="J321" s="4">
        <f>J97</f>
        <v>0</v>
      </c>
      <c r="L321" s="4"/>
    </row>
    <row r="322" spans="4:12" x14ac:dyDescent="0.25">
      <c r="D322" s="4"/>
      <c r="E322" s="4"/>
      <c r="F322" s="4"/>
      <c r="H322" s="4"/>
      <c r="J322" s="4"/>
      <c r="L322" s="4"/>
    </row>
    <row r="325" spans="4:12" x14ac:dyDescent="0.25">
      <c r="D325" s="48">
        <f>D26</f>
        <v>44926</v>
      </c>
      <c r="E325" s="48"/>
      <c r="F325" s="48">
        <f>F26</f>
        <v>45291</v>
      </c>
      <c r="H325" s="48">
        <f>H26</f>
        <v>45657</v>
      </c>
      <c r="I325" s="48" t="str">
        <f>I26</f>
        <v/>
      </c>
      <c r="J325" s="48">
        <f>J26</f>
        <v>46022</v>
      </c>
      <c r="K325" s="48" t="str">
        <f>K26</f>
        <v/>
      </c>
      <c r="L325" s="48" t="str">
        <f>L26</f>
        <v/>
      </c>
    </row>
    <row r="326" spans="4:12" x14ac:dyDescent="0.25">
      <c r="D326" s="4"/>
      <c r="E326" s="4"/>
      <c r="F326" s="4"/>
      <c r="H326" s="4"/>
      <c r="I326" s="4"/>
      <c r="J326" s="4"/>
      <c r="K326" s="4"/>
      <c r="L326" s="4"/>
    </row>
  </sheetData>
  <dataValidations count="1">
    <dataValidation allowBlank="1" sqref="D203:F205 F4:H4 D251:F251 D271:F280 D308:F308 D327:F65555 D217:F217 D241:F245 D195:F198 G258:I267 D230:F231 D314:F314 D253:F256 D258:F269 D323:F324 D17:F20 K258:L267 K196:L196 K203:L203 D4:F5 K231:L231 K253:L255 K245:L245 K242:L242 K17:L19 H20 D2:F2 D207:F208 G253:I255 G231:I231 D192:L192 G203:I203 G196:I196 D201:L201 D212:L212 D219:L219 J2 J207:J208 J217 J203:J205 J251 J271:J280 J308 J327:J65555 J241:J245 J4:J5 J17:J20 J195:J198 J230:J231 J314 J253:J256 J258:J269 J323:J324 H5 D189:L189 D187:L187 D181:L184 D26:L26 F17:I19 G242:I242 G245:I245" xr:uid="{00000000-0002-0000-0000-000000000000}"/>
  </dataValidations>
  <pageMargins left="0.7" right="0.7" top="0.75" bottom="0.75" header="0.3" footer="0.3"/>
  <headerFooter>
    <oddFooter>&amp;L&amp;"Calibri"&amp;9 &amp;K000000_x000D_# Corporativo | Interno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Entrada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VICTOR SANTOS GONCALVES PEREIRA</dc:creator>
  <cp:lastModifiedBy>João Santos</cp:lastModifiedBy>
  <dcterms:created xsi:type="dcterms:W3CDTF">2015-06-05T18:17:20Z</dcterms:created>
  <dcterms:modified xsi:type="dcterms:W3CDTF">2026-04-14T01:10:28Z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2025-05-22T18:06:43Z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63a218e1-883b-4922-bb53-a17575d4565b</vt:lpwstr>
  </property>
  <property fmtid="{D5CDD505-2E9C-101B-9397-08002B2CF9AE}" pid="8" name="MSIP_Label_4fc996bf-6aee-415c-aa4c-e35ad0009c67_ContentBits">
    <vt:lpwstr>2</vt:lpwstr>
  </property>
  <property fmtid="{D5CDD505-2E9C-101B-9397-08002B2CF9AE}" pid="9" name="MSIP_Label_4fc996bf-6aee-415c-aa4c-e35ad0009c67_Tag">
    <vt:lpwstr>10, 3, 0, 1</vt:lpwstr>
  </property>
</Properties>
</file>